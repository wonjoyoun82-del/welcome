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SynologyDrive\01.차경\4.각종양식 및 타업체자료\30 다우오피스 양식\"/>
    </mc:Choice>
  </mc:AlternateContent>
  <xr:revisionPtr revIDLastSave="0" documentId="13_ncr:1_{0B6A3F36-B77A-4656-B58F-02EE1DC20F4D}" xr6:coauthVersionLast="44" xr6:coauthVersionMax="45" xr10:uidLastSave="{00000000-0000-0000-0000-000000000000}"/>
  <bookViews>
    <workbookView xWindow="-28920" yWindow="-120" windowWidth="29040" windowHeight="15840" firstSheet="1" activeTab="2" xr2:uid="{D8A66EAA-940C-455E-AF27-DB8488191775}"/>
  </bookViews>
  <sheets>
    <sheet name="작성요령" sheetId="42" state="hidden" r:id="rId1"/>
    <sheet name="정산서" sheetId="104" r:id="rId2"/>
    <sheet name="공사청구" sheetId="28" r:id="rId3"/>
    <sheet name="청구목록표" sheetId="91" r:id="rId4"/>
    <sheet name="자금청구" sheetId="27" state="hidden" r:id="rId5"/>
    <sheet name="자금청구내역(을)" sheetId="45" state="hidden" r:id="rId6"/>
    <sheet name="업체별지급현황(총괄)" sheetId="51" r:id="rId7"/>
    <sheet name="자재비투입원가" sheetId="17" state="hidden" r:id="rId8"/>
    <sheet name="임원카드현황" sheetId="88" state="hidden" r:id="rId9"/>
    <sheet name="업체별지급현황(재료비)" sheetId="92" r:id="rId10"/>
    <sheet name="업체별지급현황(노무비)" sheetId="98" r:id="rId11"/>
    <sheet name="업체별지급현황(경비)" sheetId="99" r:id="rId12"/>
    <sheet name="업체별지급현황(장비비)" sheetId="100" r:id="rId13"/>
    <sheet name="업체별지급현황(외주비)" sheetId="101" r:id="rId14"/>
    <sheet name="업체별지급현황(현장관리비)" sheetId="102" r:id="rId15"/>
    <sheet name="업체별지급현황(안전,환경,폐기물)" sheetId="103" r:id="rId16"/>
    <sheet name="결재방" sheetId="13" r:id="rId17"/>
    <sheet name="식대 발생현황(예시)" sheetId="90" r:id="rId18"/>
  </sheets>
  <definedNames>
    <definedName name="__IntlFixup" hidden="1">TRUE</definedName>
    <definedName name="_\D" localSheetId="8">#REF!</definedName>
    <definedName name="_\D" localSheetId="1">#REF!</definedName>
    <definedName name="_\D">#REF!</definedName>
    <definedName name="_\X" localSheetId="8">#REF!</definedName>
    <definedName name="_\X" localSheetId="1">#REF!</definedName>
    <definedName name="_\X">#REF!</definedName>
    <definedName name="_1공장" localSheetId="2">#REF!</definedName>
    <definedName name="_1공장" localSheetId="4">#REF!</definedName>
    <definedName name="_1공장" localSheetId="5">#REF!</definedName>
    <definedName name="_2">#N/A</definedName>
    <definedName name="_2공장" localSheetId="2">#REF!</definedName>
    <definedName name="_2공장" localSheetId="4">#REF!</definedName>
    <definedName name="_2공장" localSheetId="5">#REF!</definedName>
    <definedName name="_3공장" localSheetId="2">#REF!</definedName>
    <definedName name="_3공장" localSheetId="4">#REF!</definedName>
    <definedName name="_3공장" localSheetId="5">#REF!</definedName>
    <definedName name="_xlnm._FilterDatabase" localSheetId="8" hidden="1">임원카드현황!$B$1:$B$44</definedName>
    <definedName name="_Order2" hidden="1">255</definedName>
    <definedName name="\0">#N/A</definedName>
    <definedName name="\q">#N/A</definedName>
    <definedName name="\s">#N/A</definedName>
    <definedName name="aaaa" localSheetId="8">#REF!</definedName>
    <definedName name="aaaa" localSheetId="1">#REF!</definedName>
    <definedName name="aaaa">#REF!</definedName>
    <definedName name="B5471763" localSheetId="11">#REF!</definedName>
    <definedName name="B5471763" localSheetId="10">#REF!</definedName>
    <definedName name="B5471763" localSheetId="15">#REF!</definedName>
    <definedName name="B5471763" localSheetId="13">#REF!</definedName>
    <definedName name="B5471763" localSheetId="12">#REF!</definedName>
    <definedName name="B5471763" localSheetId="9">#REF!</definedName>
    <definedName name="B5471763" localSheetId="6">#REF!</definedName>
    <definedName name="B5471763" localSheetId="14">#REF!</definedName>
    <definedName name="BDCODE">#N/A</definedName>
    <definedName name="D" localSheetId="8">#REF!</definedName>
    <definedName name="D" localSheetId="1">#REF!</definedName>
    <definedName name="D">#REF!</definedName>
    <definedName name="_xlnm.Database" localSheetId="2">#REF!</definedName>
    <definedName name="_xlnm.Database" localSheetId="11">#REF!</definedName>
    <definedName name="_xlnm.Database" localSheetId="10">#REF!</definedName>
    <definedName name="_xlnm.Database" localSheetId="15">#REF!</definedName>
    <definedName name="_xlnm.Database" localSheetId="13">#REF!</definedName>
    <definedName name="_xlnm.Database" localSheetId="12">#REF!</definedName>
    <definedName name="_xlnm.Database" localSheetId="9">#REF!</definedName>
    <definedName name="_xlnm.Database" localSheetId="6">#REF!</definedName>
    <definedName name="_xlnm.Database" localSheetId="14">#REF!</definedName>
    <definedName name="_xlnm.Database" localSheetId="8">#REF!</definedName>
    <definedName name="_xlnm.Database" localSheetId="4">#REF!</definedName>
    <definedName name="_xlnm.Database" localSheetId="5">#REF!</definedName>
    <definedName name="_xlnm.Database" localSheetId="1">#REF!</definedName>
    <definedName name="_xlnm.Database">#REF!</definedName>
    <definedName name="E">#N/A</definedName>
    <definedName name="ee" localSheetId="11" hidden="1">{#N/A,#N/A,FALSE,"단가표지"}</definedName>
    <definedName name="ee" localSheetId="10" hidden="1">{#N/A,#N/A,FALSE,"단가표지"}</definedName>
    <definedName name="ee" localSheetId="15" hidden="1">{#N/A,#N/A,FALSE,"단가표지"}</definedName>
    <definedName name="ee" localSheetId="13" hidden="1">{#N/A,#N/A,FALSE,"단가표지"}</definedName>
    <definedName name="ee" localSheetId="12" hidden="1">{#N/A,#N/A,FALSE,"단가표지"}</definedName>
    <definedName name="ee" localSheetId="9" hidden="1">{#N/A,#N/A,FALSE,"단가표지"}</definedName>
    <definedName name="ee" localSheetId="6" hidden="1">{#N/A,#N/A,FALSE,"단가표지"}</definedName>
    <definedName name="ee" localSheetId="14" hidden="1">{#N/A,#N/A,FALSE,"단가표지"}</definedName>
    <definedName name="ee" localSheetId="8" hidden="1">{#N/A,#N/A,FALSE,"단가표지"}</definedName>
    <definedName name="ee" localSheetId="5" hidden="1">{#N/A,#N/A,FALSE,"단가표지"}</definedName>
    <definedName name="F_CODE">#N/A</definedName>
    <definedName name="F_DESC">#N/A</definedName>
    <definedName name="F_LVL">#N/A</definedName>
    <definedName name="F_PAGE">#N/A</definedName>
    <definedName name="F_REMK">#N/A</definedName>
    <definedName name="F_SEQ">#N/A</definedName>
    <definedName name="F_SIZE">#N/A</definedName>
    <definedName name="F_UNIT">#N/A</definedName>
    <definedName name="g" localSheetId="11">#REF!</definedName>
    <definedName name="g" localSheetId="10">#REF!</definedName>
    <definedName name="g" localSheetId="15">#REF!</definedName>
    <definedName name="g" localSheetId="13">#REF!</definedName>
    <definedName name="g" localSheetId="12">#REF!</definedName>
    <definedName name="g" localSheetId="9">#REF!</definedName>
    <definedName name="g" localSheetId="6">#REF!</definedName>
    <definedName name="g" localSheetId="14">#REF!</definedName>
    <definedName name="g" localSheetId="8">#REF!</definedName>
    <definedName name="ITNUM">#N/A</definedName>
    <definedName name="jaje1" localSheetId="11">#REF!</definedName>
    <definedName name="jaje1" localSheetId="10">#REF!</definedName>
    <definedName name="jaje1" localSheetId="15">#REF!</definedName>
    <definedName name="jaje1" localSheetId="13">#REF!</definedName>
    <definedName name="jaje1" localSheetId="12">#REF!</definedName>
    <definedName name="jaje1" localSheetId="9">#REF!</definedName>
    <definedName name="jaje1" localSheetId="6">#REF!</definedName>
    <definedName name="jaje1" localSheetId="14">#REF!</definedName>
    <definedName name="L">#N/A</definedName>
    <definedName name="LL">#N/A</definedName>
    <definedName name="M">#N/A</definedName>
    <definedName name="OO">#N/A</definedName>
    <definedName name="P">#N/A</definedName>
    <definedName name="_xlnm.Print_Area" localSheetId="2">공사청구!$B$1:$BO$36</definedName>
    <definedName name="_xlnm.Print_Area" localSheetId="17">'식대 발생현황(예시)'!$A$1:$M$38</definedName>
    <definedName name="_xlnm.Print_Area" localSheetId="11">'업체별지급현황(경비)'!$A$1:$U$27</definedName>
    <definedName name="_xlnm.Print_Area" localSheetId="10">'업체별지급현황(노무비)'!$A$1:$U$27</definedName>
    <definedName name="_xlnm.Print_Area" localSheetId="15">'업체별지급현황(안전,환경,폐기물)'!$A$1:$U$27</definedName>
    <definedName name="_xlnm.Print_Area" localSheetId="13">'업체별지급현황(외주비)'!$A$1:$U$27</definedName>
    <definedName name="_xlnm.Print_Area" localSheetId="12">'업체별지급현황(장비비)'!$A$1:$U$27</definedName>
    <definedName name="_xlnm.Print_Area" localSheetId="9">'업체별지급현황(재료비)'!$A$1:$U$27</definedName>
    <definedName name="_xlnm.Print_Area" localSheetId="6">'업체별지급현황(총괄)'!$A$1:$U$15</definedName>
    <definedName name="_xlnm.Print_Area" localSheetId="14">'업체별지급현황(현장관리비)'!$A$1:$U$30</definedName>
    <definedName name="_xlnm.Print_Area" localSheetId="8">임원카드현황!$A$1:$F$32</definedName>
    <definedName name="_xlnm.Print_Area" localSheetId="4">자금청구!$A$1:$L$53</definedName>
    <definedName name="_xlnm.Print_Area" localSheetId="5">'자금청구내역(을)'!$A$1:$J$76</definedName>
    <definedName name="_xlnm.Print_Area" localSheetId="7">자재비투입원가!$A$1:$U$244</definedName>
    <definedName name="_xlnm.Print_Area" localSheetId="1">정산서!$A$1:$I$24</definedName>
    <definedName name="_xlnm.Print_Area" localSheetId="3">청구목록표!$A$1:$Q$79</definedName>
    <definedName name="Print_Area\C" localSheetId="8">#REF!</definedName>
    <definedName name="Print_Area\C" localSheetId="1">#REF!</definedName>
    <definedName name="Print_Area\C">#REF!</definedName>
    <definedName name="_xlnm.Print_Titles" localSheetId="8">임원카드현황!$5:$6</definedName>
    <definedName name="_xlnm.Print_Titles" localSheetId="4">자금청구!$8:$9</definedName>
    <definedName name="_xlnm.Print_Titles" localSheetId="5">'자금청구내역(을)'!$1:$4</definedName>
    <definedName name="_xlnm.Print_Titles" localSheetId="7">자재비투입원가!$1:$6</definedName>
    <definedName name="_xlnm.Print_Titles" localSheetId="1">#REF!</definedName>
    <definedName name="_xlnm.Print_Titles">#REF!</definedName>
    <definedName name="qq" localSheetId="11" hidden="1">{#N/A,#N/A,FALSE,"단가표지"}</definedName>
    <definedName name="qq" localSheetId="10" hidden="1">{#N/A,#N/A,FALSE,"단가표지"}</definedName>
    <definedName name="qq" localSheetId="15" hidden="1">{#N/A,#N/A,FALSE,"단가표지"}</definedName>
    <definedName name="qq" localSheetId="13" hidden="1">{#N/A,#N/A,FALSE,"단가표지"}</definedName>
    <definedName name="qq" localSheetId="12" hidden="1">{#N/A,#N/A,FALSE,"단가표지"}</definedName>
    <definedName name="qq" localSheetId="9" hidden="1">{#N/A,#N/A,FALSE,"단가표지"}</definedName>
    <definedName name="qq" localSheetId="6" hidden="1">{#N/A,#N/A,FALSE,"단가표지"}</definedName>
    <definedName name="qq" localSheetId="14" hidden="1">{#N/A,#N/A,FALSE,"단가표지"}</definedName>
    <definedName name="qq" localSheetId="8" hidden="1">{#N/A,#N/A,FALSE,"단가표지"}</definedName>
    <definedName name="qq" localSheetId="5" hidden="1">{#N/A,#N/A,FALSE,"단가표지"}</definedName>
    <definedName name="QTY">#N/A</definedName>
    <definedName name="qw" localSheetId="11" hidden="1">{#N/A,#N/A,FALSE,"단가표지"}</definedName>
    <definedName name="qw" localSheetId="10" hidden="1">{#N/A,#N/A,FALSE,"단가표지"}</definedName>
    <definedName name="qw" localSheetId="15" hidden="1">{#N/A,#N/A,FALSE,"단가표지"}</definedName>
    <definedName name="qw" localSheetId="13" hidden="1">{#N/A,#N/A,FALSE,"단가표지"}</definedName>
    <definedName name="qw" localSheetId="12" hidden="1">{#N/A,#N/A,FALSE,"단가표지"}</definedName>
    <definedName name="qw" localSheetId="9" hidden="1">{#N/A,#N/A,FALSE,"단가표지"}</definedName>
    <definedName name="qw" localSheetId="6" hidden="1">{#N/A,#N/A,FALSE,"단가표지"}</definedName>
    <definedName name="qw" localSheetId="14" hidden="1">{#N/A,#N/A,FALSE,"단가표지"}</definedName>
    <definedName name="qw" localSheetId="8" hidden="1">{#N/A,#N/A,FALSE,"단가표지"}</definedName>
    <definedName name="qw" localSheetId="5" hidden="1">{#N/A,#N/A,FALSE,"단가표지"}</definedName>
    <definedName name="SORTCODE">#N/A</definedName>
    <definedName name="ss" localSheetId="11" hidden="1">{#N/A,#N/A,FALSE,"운반시간"}</definedName>
    <definedName name="ss" localSheetId="10" hidden="1">{#N/A,#N/A,FALSE,"운반시간"}</definedName>
    <definedName name="ss" localSheetId="15" hidden="1">{#N/A,#N/A,FALSE,"운반시간"}</definedName>
    <definedName name="ss" localSheetId="13" hidden="1">{#N/A,#N/A,FALSE,"운반시간"}</definedName>
    <definedName name="ss" localSheetId="12" hidden="1">{#N/A,#N/A,FALSE,"운반시간"}</definedName>
    <definedName name="ss" localSheetId="9" hidden="1">{#N/A,#N/A,FALSE,"운반시간"}</definedName>
    <definedName name="ss" localSheetId="6" hidden="1">{#N/A,#N/A,FALSE,"운반시간"}</definedName>
    <definedName name="ss" localSheetId="14" hidden="1">{#N/A,#N/A,FALSE,"운반시간"}</definedName>
    <definedName name="ss" localSheetId="8" hidden="1">{#N/A,#N/A,FALSE,"운반시간"}</definedName>
    <definedName name="ss" localSheetId="5" hidden="1">{#N/A,#N/A,FALSE,"운반시간"}</definedName>
    <definedName name="T_AMOUNT">#N/A</definedName>
    <definedName name="T_UPRICE">#N/A</definedName>
    <definedName name="wm.조골재1" localSheetId="11" hidden="1">{#N/A,#N/A,FALSE,"조골재"}</definedName>
    <definedName name="wm.조골재1" localSheetId="10" hidden="1">{#N/A,#N/A,FALSE,"조골재"}</definedName>
    <definedName name="wm.조골재1" localSheetId="15" hidden="1">{#N/A,#N/A,FALSE,"조골재"}</definedName>
    <definedName name="wm.조골재1" localSheetId="13" hidden="1">{#N/A,#N/A,FALSE,"조골재"}</definedName>
    <definedName name="wm.조골재1" localSheetId="12" hidden="1">{#N/A,#N/A,FALSE,"조골재"}</definedName>
    <definedName name="wm.조골재1" localSheetId="9" hidden="1">{#N/A,#N/A,FALSE,"조골재"}</definedName>
    <definedName name="wm.조골재1" localSheetId="6" hidden="1">{#N/A,#N/A,FALSE,"조골재"}</definedName>
    <definedName name="wm.조골재1" localSheetId="14" hidden="1">{#N/A,#N/A,FALSE,"조골재"}</definedName>
    <definedName name="wm.조골재1" localSheetId="8" hidden="1">{#N/A,#N/A,FALSE,"조골재"}</definedName>
    <definedName name="wm.조골재1" localSheetId="5" hidden="1">{#N/A,#N/A,FALSE,"조골재"}</definedName>
    <definedName name="wrn.2번." localSheetId="11" hidden="1">{#N/A,#N/A,FALSE,"2~8번"}</definedName>
    <definedName name="wrn.2번." localSheetId="10" hidden="1">{#N/A,#N/A,FALSE,"2~8번"}</definedName>
    <definedName name="wrn.2번." localSheetId="15" hidden="1">{#N/A,#N/A,FALSE,"2~8번"}</definedName>
    <definedName name="wrn.2번." localSheetId="13" hidden="1">{#N/A,#N/A,FALSE,"2~8번"}</definedName>
    <definedName name="wrn.2번." localSheetId="12" hidden="1">{#N/A,#N/A,FALSE,"2~8번"}</definedName>
    <definedName name="wrn.2번." localSheetId="9" hidden="1">{#N/A,#N/A,FALSE,"2~8번"}</definedName>
    <definedName name="wrn.2번." localSheetId="6" hidden="1">{#N/A,#N/A,FALSE,"2~8번"}</definedName>
    <definedName name="wrn.2번." localSheetId="14" hidden="1">{#N/A,#N/A,FALSE,"2~8번"}</definedName>
    <definedName name="wrn.2번." localSheetId="8" hidden="1">{#N/A,#N/A,FALSE,"2~8번"}</definedName>
    <definedName name="wrn.2번." localSheetId="5" hidden="1">{#N/A,#N/A,FALSE,"2~8번"}</definedName>
    <definedName name="wrn.골재소요량." localSheetId="11" hidden="1">{#N/A,#N/A,FALSE,"골재소요량";#N/A,#N/A,FALSE,"골재소요량"}</definedName>
    <definedName name="wrn.골재소요량." localSheetId="10" hidden="1">{#N/A,#N/A,FALSE,"골재소요량";#N/A,#N/A,FALSE,"골재소요량"}</definedName>
    <definedName name="wrn.골재소요량." localSheetId="15" hidden="1">{#N/A,#N/A,FALSE,"골재소요량";#N/A,#N/A,FALSE,"골재소요량"}</definedName>
    <definedName name="wrn.골재소요량." localSheetId="13" hidden="1">{#N/A,#N/A,FALSE,"골재소요량";#N/A,#N/A,FALSE,"골재소요량"}</definedName>
    <definedName name="wrn.골재소요량." localSheetId="12" hidden="1">{#N/A,#N/A,FALSE,"골재소요량";#N/A,#N/A,FALSE,"골재소요량"}</definedName>
    <definedName name="wrn.골재소요량." localSheetId="9" hidden="1">{#N/A,#N/A,FALSE,"골재소요량";#N/A,#N/A,FALSE,"골재소요량"}</definedName>
    <definedName name="wrn.골재소요량." localSheetId="6" hidden="1">{#N/A,#N/A,FALSE,"골재소요량";#N/A,#N/A,FALSE,"골재소요량"}</definedName>
    <definedName name="wrn.골재소요량." localSheetId="14" hidden="1">{#N/A,#N/A,FALSE,"골재소요량";#N/A,#N/A,FALSE,"골재소요량"}</definedName>
    <definedName name="wrn.골재소요량." localSheetId="8" hidden="1">{#N/A,#N/A,FALSE,"골재소요량";#N/A,#N/A,FALSE,"골재소요량"}</definedName>
    <definedName name="wrn.골재소요량." localSheetId="5" hidden="1">{#N/A,#N/A,FALSE,"골재소요량";#N/A,#N/A,FALSE,"골재소요량"}</definedName>
    <definedName name="wrn.구조2." localSheetId="11" hidden="1">{#N/A,#N/A,FALSE,"구조2"}</definedName>
    <definedName name="wrn.구조2." localSheetId="10" hidden="1">{#N/A,#N/A,FALSE,"구조2"}</definedName>
    <definedName name="wrn.구조2." localSheetId="15" hidden="1">{#N/A,#N/A,FALSE,"구조2"}</definedName>
    <definedName name="wrn.구조2." localSheetId="13" hidden="1">{#N/A,#N/A,FALSE,"구조2"}</definedName>
    <definedName name="wrn.구조2." localSheetId="12" hidden="1">{#N/A,#N/A,FALSE,"구조2"}</definedName>
    <definedName name="wrn.구조2." localSheetId="9" hidden="1">{#N/A,#N/A,FALSE,"구조2"}</definedName>
    <definedName name="wrn.구조2." localSheetId="6" hidden="1">{#N/A,#N/A,FALSE,"구조2"}</definedName>
    <definedName name="wrn.구조2." localSheetId="14" hidden="1">{#N/A,#N/A,FALSE,"구조2"}</definedName>
    <definedName name="wrn.구조2." localSheetId="8" hidden="1">{#N/A,#N/A,FALSE,"구조2"}</definedName>
    <definedName name="wrn.구조2." localSheetId="5" hidden="1">{#N/A,#N/A,FALSE,"구조2"}</definedName>
    <definedName name="wrn.단가표지." localSheetId="11" hidden="1">{#N/A,#N/A,FALSE,"단가표지"}</definedName>
    <definedName name="wrn.단가표지." localSheetId="10" hidden="1">{#N/A,#N/A,FALSE,"단가표지"}</definedName>
    <definedName name="wrn.단가표지." localSheetId="15" hidden="1">{#N/A,#N/A,FALSE,"단가표지"}</definedName>
    <definedName name="wrn.단가표지." localSheetId="13" hidden="1">{#N/A,#N/A,FALSE,"단가표지"}</definedName>
    <definedName name="wrn.단가표지." localSheetId="12" hidden="1">{#N/A,#N/A,FALSE,"단가표지"}</definedName>
    <definedName name="wrn.단가표지." localSheetId="9" hidden="1">{#N/A,#N/A,FALSE,"단가표지"}</definedName>
    <definedName name="wrn.단가표지." localSheetId="6" hidden="1">{#N/A,#N/A,FALSE,"단가표지"}</definedName>
    <definedName name="wrn.단가표지." localSheetId="14" hidden="1">{#N/A,#N/A,FALSE,"단가표지"}</definedName>
    <definedName name="wrn.단가표지." localSheetId="8" hidden="1">{#N/A,#N/A,FALSE,"단가표지"}</definedName>
    <definedName name="wrn.단가표지." localSheetId="5" hidden="1">{#N/A,#N/A,FALSE,"단가표지"}</definedName>
    <definedName name="wrn.배수1." localSheetId="11" hidden="1">{#N/A,#N/A,FALSE,"배수1"}</definedName>
    <definedName name="wrn.배수1." localSheetId="10" hidden="1">{#N/A,#N/A,FALSE,"배수1"}</definedName>
    <definedName name="wrn.배수1." localSheetId="15" hidden="1">{#N/A,#N/A,FALSE,"배수1"}</definedName>
    <definedName name="wrn.배수1." localSheetId="13" hidden="1">{#N/A,#N/A,FALSE,"배수1"}</definedName>
    <definedName name="wrn.배수1." localSheetId="12" hidden="1">{#N/A,#N/A,FALSE,"배수1"}</definedName>
    <definedName name="wrn.배수1." localSheetId="9" hidden="1">{#N/A,#N/A,FALSE,"배수1"}</definedName>
    <definedName name="wrn.배수1." localSheetId="6" hidden="1">{#N/A,#N/A,FALSE,"배수1"}</definedName>
    <definedName name="wrn.배수1." localSheetId="14" hidden="1">{#N/A,#N/A,FALSE,"배수1"}</definedName>
    <definedName name="wrn.배수1." localSheetId="8" hidden="1">{#N/A,#N/A,FALSE,"배수1"}</definedName>
    <definedName name="wrn.배수1." localSheetId="5" hidden="1">{#N/A,#N/A,FALSE,"배수1"}</definedName>
    <definedName name="wrn.배수2." localSheetId="11" hidden="1">{#N/A,#N/A,FALSE,"배수2"}</definedName>
    <definedName name="wrn.배수2." localSheetId="10" hidden="1">{#N/A,#N/A,FALSE,"배수2"}</definedName>
    <definedName name="wrn.배수2." localSheetId="15" hidden="1">{#N/A,#N/A,FALSE,"배수2"}</definedName>
    <definedName name="wrn.배수2." localSheetId="13" hidden="1">{#N/A,#N/A,FALSE,"배수2"}</definedName>
    <definedName name="wrn.배수2." localSheetId="12" hidden="1">{#N/A,#N/A,FALSE,"배수2"}</definedName>
    <definedName name="wrn.배수2." localSheetId="9" hidden="1">{#N/A,#N/A,FALSE,"배수2"}</definedName>
    <definedName name="wrn.배수2." localSheetId="6" hidden="1">{#N/A,#N/A,FALSE,"배수2"}</definedName>
    <definedName name="wrn.배수2." localSheetId="14" hidden="1">{#N/A,#N/A,FALSE,"배수2"}</definedName>
    <definedName name="wrn.배수2." localSheetId="8" hidden="1">{#N/A,#N/A,FALSE,"배수2"}</definedName>
    <definedName name="wrn.배수2." localSheetId="5" hidden="1">{#N/A,#N/A,FALSE,"배수2"}</definedName>
    <definedName name="wrn.부대1." localSheetId="11" hidden="1">{#N/A,#N/A,FALSE,"부대1"}</definedName>
    <definedName name="wrn.부대1." localSheetId="10" hidden="1">{#N/A,#N/A,FALSE,"부대1"}</definedName>
    <definedName name="wrn.부대1." localSheetId="15" hidden="1">{#N/A,#N/A,FALSE,"부대1"}</definedName>
    <definedName name="wrn.부대1." localSheetId="13" hidden="1">{#N/A,#N/A,FALSE,"부대1"}</definedName>
    <definedName name="wrn.부대1." localSheetId="12" hidden="1">{#N/A,#N/A,FALSE,"부대1"}</definedName>
    <definedName name="wrn.부대1." localSheetId="9" hidden="1">{#N/A,#N/A,FALSE,"부대1"}</definedName>
    <definedName name="wrn.부대1." localSheetId="6" hidden="1">{#N/A,#N/A,FALSE,"부대1"}</definedName>
    <definedName name="wrn.부대1." localSheetId="14" hidden="1">{#N/A,#N/A,FALSE,"부대1"}</definedName>
    <definedName name="wrn.부대1." localSheetId="8" hidden="1">{#N/A,#N/A,FALSE,"부대1"}</definedName>
    <definedName name="wrn.부대1." localSheetId="5" hidden="1">{#N/A,#N/A,FALSE,"부대1"}</definedName>
    <definedName name="wrn.부대2." localSheetId="11" hidden="1">{#N/A,#N/A,FALSE,"부대2"}</definedName>
    <definedName name="wrn.부대2." localSheetId="10" hidden="1">{#N/A,#N/A,FALSE,"부대2"}</definedName>
    <definedName name="wrn.부대2." localSheetId="15" hidden="1">{#N/A,#N/A,FALSE,"부대2"}</definedName>
    <definedName name="wrn.부대2." localSheetId="13" hidden="1">{#N/A,#N/A,FALSE,"부대2"}</definedName>
    <definedName name="wrn.부대2." localSheetId="12" hidden="1">{#N/A,#N/A,FALSE,"부대2"}</definedName>
    <definedName name="wrn.부대2." localSheetId="9" hidden="1">{#N/A,#N/A,FALSE,"부대2"}</definedName>
    <definedName name="wrn.부대2." localSheetId="6" hidden="1">{#N/A,#N/A,FALSE,"부대2"}</definedName>
    <definedName name="wrn.부대2." localSheetId="14" hidden="1">{#N/A,#N/A,FALSE,"부대2"}</definedName>
    <definedName name="wrn.부대2." localSheetId="8" hidden="1">{#N/A,#N/A,FALSE,"부대2"}</definedName>
    <definedName name="wrn.부대2." localSheetId="5" hidden="1">{#N/A,#N/A,FALSE,"부대2"}</definedName>
    <definedName name="wrn.속도." localSheetId="11" hidden="1">{#N/A,#N/A,FALSE,"속도"}</definedName>
    <definedName name="wrn.속도." localSheetId="10" hidden="1">{#N/A,#N/A,FALSE,"속도"}</definedName>
    <definedName name="wrn.속도." localSheetId="15" hidden="1">{#N/A,#N/A,FALSE,"속도"}</definedName>
    <definedName name="wrn.속도." localSheetId="13" hidden="1">{#N/A,#N/A,FALSE,"속도"}</definedName>
    <definedName name="wrn.속도." localSheetId="12" hidden="1">{#N/A,#N/A,FALSE,"속도"}</definedName>
    <definedName name="wrn.속도." localSheetId="9" hidden="1">{#N/A,#N/A,FALSE,"속도"}</definedName>
    <definedName name="wrn.속도." localSheetId="6" hidden="1">{#N/A,#N/A,FALSE,"속도"}</definedName>
    <definedName name="wrn.속도." localSheetId="14" hidden="1">{#N/A,#N/A,FALSE,"속도"}</definedName>
    <definedName name="wrn.속도." localSheetId="8" hidden="1">{#N/A,#N/A,FALSE,"속도"}</definedName>
    <definedName name="wrn.속도." localSheetId="5" hidden="1">{#N/A,#N/A,FALSE,"속도"}</definedName>
    <definedName name="wrn.운반시간." localSheetId="11" hidden="1">{#N/A,#N/A,FALSE,"운반시간"}</definedName>
    <definedName name="wrn.운반시간." localSheetId="10" hidden="1">{#N/A,#N/A,FALSE,"운반시간"}</definedName>
    <definedName name="wrn.운반시간." localSheetId="15" hidden="1">{#N/A,#N/A,FALSE,"운반시간"}</definedName>
    <definedName name="wrn.운반시간." localSheetId="13" hidden="1">{#N/A,#N/A,FALSE,"운반시간"}</definedName>
    <definedName name="wrn.운반시간." localSheetId="12" hidden="1">{#N/A,#N/A,FALSE,"운반시간"}</definedName>
    <definedName name="wrn.운반시간." localSheetId="9" hidden="1">{#N/A,#N/A,FALSE,"운반시간"}</definedName>
    <definedName name="wrn.운반시간." localSheetId="6" hidden="1">{#N/A,#N/A,FALSE,"운반시간"}</definedName>
    <definedName name="wrn.운반시간." localSheetId="14" hidden="1">{#N/A,#N/A,FALSE,"운반시간"}</definedName>
    <definedName name="wrn.운반시간." localSheetId="8" hidden="1">{#N/A,#N/A,FALSE,"운반시간"}</definedName>
    <definedName name="wrn.운반시간." localSheetId="5" hidden="1">{#N/A,#N/A,FALSE,"운반시간"}</definedName>
    <definedName name="wrn.이정표." localSheetId="11" hidden="1">{#N/A,#N/A,FALSE,"이정표"}</definedName>
    <definedName name="wrn.이정표." localSheetId="10" hidden="1">{#N/A,#N/A,FALSE,"이정표"}</definedName>
    <definedName name="wrn.이정표." localSheetId="15" hidden="1">{#N/A,#N/A,FALSE,"이정표"}</definedName>
    <definedName name="wrn.이정표." localSheetId="13" hidden="1">{#N/A,#N/A,FALSE,"이정표"}</definedName>
    <definedName name="wrn.이정표." localSheetId="12" hidden="1">{#N/A,#N/A,FALSE,"이정표"}</definedName>
    <definedName name="wrn.이정표." localSheetId="9" hidden="1">{#N/A,#N/A,FALSE,"이정표"}</definedName>
    <definedName name="wrn.이정표." localSheetId="6" hidden="1">{#N/A,#N/A,FALSE,"이정표"}</definedName>
    <definedName name="wrn.이정표." localSheetId="14" hidden="1">{#N/A,#N/A,FALSE,"이정표"}</definedName>
    <definedName name="wrn.이정표." localSheetId="8" hidden="1">{#N/A,#N/A,FALSE,"이정표"}</definedName>
    <definedName name="wrn.이정표." localSheetId="5" hidden="1">{#N/A,#N/A,FALSE,"이정표"}</definedName>
    <definedName name="wrn.조골재." localSheetId="11" hidden="1">{#N/A,#N/A,FALSE,"조골재"}</definedName>
    <definedName name="wrn.조골재." localSheetId="10" hidden="1">{#N/A,#N/A,FALSE,"조골재"}</definedName>
    <definedName name="wrn.조골재." localSheetId="15" hidden="1">{#N/A,#N/A,FALSE,"조골재"}</definedName>
    <definedName name="wrn.조골재." localSheetId="13" hidden="1">{#N/A,#N/A,FALSE,"조골재"}</definedName>
    <definedName name="wrn.조골재." localSheetId="12" hidden="1">{#N/A,#N/A,FALSE,"조골재"}</definedName>
    <definedName name="wrn.조골재." localSheetId="9" hidden="1">{#N/A,#N/A,FALSE,"조골재"}</definedName>
    <definedName name="wrn.조골재." localSheetId="6" hidden="1">{#N/A,#N/A,FALSE,"조골재"}</definedName>
    <definedName name="wrn.조골재." localSheetId="14" hidden="1">{#N/A,#N/A,FALSE,"조골재"}</definedName>
    <definedName name="wrn.조골재." localSheetId="8" hidden="1">{#N/A,#N/A,FALSE,"조골재"}</definedName>
    <definedName name="wrn.조골재." localSheetId="5" hidden="1">{#N/A,#N/A,FALSE,"조골재"}</definedName>
    <definedName name="wrn.토공1." localSheetId="11" hidden="1">{#N/A,#N/A,FALSE,"구조1"}</definedName>
    <definedName name="wrn.토공1." localSheetId="10" hidden="1">{#N/A,#N/A,FALSE,"구조1"}</definedName>
    <definedName name="wrn.토공1." localSheetId="15" hidden="1">{#N/A,#N/A,FALSE,"구조1"}</definedName>
    <definedName name="wrn.토공1." localSheetId="13" hidden="1">{#N/A,#N/A,FALSE,"구조1"}</definedName>
    <definedName name="wrn.토공1." localSheetId="12" hidden="1">{#N/A,#N/A,FALSE,"구조1"}</definedName>
    <definedName name="wrn.토공1." localSheetId="9" hidden="1">{#N/A,#N/A,FALSE,"구조1"}</definedName>
    <definedName name="wrn.토공1." localSheetId="6" hidden="1">{#N/A,#N/A,FALSE,"구조1"}</definedName>
    <definedName name="wrn.토공1." localSheetId="14" hidden="1">{#N/A,#N/A,FALSE,"구조1"}</definedName>
    <definedName name="wrn.토공1." localSheetId="8" hidden="1">{#N/A,#N/A,FALSE,"구조1"}</definedName>
    <definedName name="wrn.토공1." localSheetId="5" hidden="1">{#N/A,#N/A,FALSE,"구조1"}</definedName>
    <definedName name="wrn.토공2." localSheetId="11" hidden="1">{#N/A,#N/A,FALSE,"토공2"}</definedName>
    <definedName name="wrn.토공2." localSheetId="10" hidden="1">{#N/A,#N/A,FALSE,"토공2"}</definedName>
    <definedName name="wrn.토공2." localSheetId="15" hidden="1">{#N/A,#N/A,FALSE,"토공2"}</definedName>
    <definedName name="wrn.토공2." localSheetId="13" hidden="1">{#N/A,#N/A,FALSE,"토공2"}</definedName>
    <definedName name="wrn.토공2." localSheetId="12" hidden="1">{#N/A,#N/A,FALSE,"토공2"}</definedName>
    <definedName name="wrn.토공2." localSheetId="9" hidden="1">{#N/A,#N/A,FALSE,"토공2"}</definedName>
    <definedName name="wrn.토공2." localSheetId="6" hidden="1">{#N/A,#N/A,FALSE,"토공2"}</definedName>
    <definedName name="wrn.토공2." localSheetId="14" hidden="1">{#N/A,#N/A,FALSE,"토공2"}</definedName>
    <definedName name="wrn.토공2." localSheetId="8" hidden="1">{#N/A,#N/A,FALSE,"토공2"}</definedName>
    <definedName name="wrn.토공2." localSheetId="5" hidden="1">{#N/A,#N/A,FALSE,"토공2"}</definedName>
    <definedName name="wrn.포장1." localSheetId="11" hidden="1">{#N/A,#N/A,FALSE,"포장1";#N/A,#N/A,FALSE,"포장1"}</definedName>
    <definedName name="wrn.포장1." localSheetId="10" hidden="1">{#N/A,#N/A,FALSE,"포장1";#N/A,#N/A,FALSE,"포장1"}</definedName>
    <definedName name="wrn.포장1." localSheetId="15" hidden="1">{#N/A,#N/A,FALSE,"포장1";#N/A,#N/A,FALSE,"포장1"}</definedName>
    <definedName name="wrn.포장1." localSheetId="13" hidden="1">{#N/A,#N/A,FALSE,"포장1";#N/A,#N/A,FALSE,"포장1"}</definedName>
    <definedName name="wrn.포장1." localSheetId="12" hidden="1">{#N/A,#N/A,FALSE,"포장1";#N/A,#N/A,FALSE,"포장1"}</definedName>
    <definedName name="wrn.포장1." localSheetId="9" hidden="1">{#N/A,#N/A,FALSE,"포장1";#N/A,#N/A,FALSE,"포장1"}</definedName>
    <definedName name="wrn.포장1." localSheetId="6" hidden="1">{#N/A,#N/A,FALSE,"포장1";#N/A,#N/A,FALSE,"포장1"}</definedName>
    <definedName name="wrn.포장1." localSheetId="14" hidden="1">{#N/A,#N/A,FALSE,"포장1";#N/A,#N/A,FALSE,"포장1"}</definedName>
    <definedName name="wrn.포장1." localSheetId="8" hidden="1">{#N/A,#N/A,FALSE,"포장1";#N/A,#N/A,FALSE,"포장1"}</definedName>
    <definedName name="wrn.포장1." localSheetId="5" hidden="1">{#N/A,#N/A,FALSE,"포장1";#N/A,#N/A,FALSE,"포장1"}</definedName>
    <definedName name="wrn.포장2." localSheetId="11" hidden="1">{#N/A,#N/A,FALSE,"포장2"}</definedName>
    <definedName name="wrn.포장2." localSheetId="10" hidden="1">{#N/A,#N/A,FALSE,"포장2"}</definedName>
    <definedName name="wrn.포장2." localSheetId="15" hidden="1">{#N/A,#N/A,FALSE,"포장2"}</definedName>
    <definedName name="wrn.포장2." localSheetId="13" hidden="1">{#N/A,#N/A,FALSE,"포장2"}</definedName>
    <definedName name="wrn.포장2." localSheetId="12" hidden="1">{#N/A,#N/A,FALSE,"포장2"}</definedName>
    <definedName name="wrn.포장2." localSheetId="9" hidden="1">{#N/A,#N/A,FALSE,"포장2"}</definedName>
    <definedName name="wrn.포장2." localSheetId="6" hidden="1">{#N/A,#N/A,FALSE,"포장2"}</definedName>
    <definedName name="wrn.포장2." localSheetId="14" hidden="1">{#N/A,#N/A,FALSE,"포장2"}</definedName>
    <definedName name="wrn.포장2." localSheetId="8" hidden="1">{#N/A,#N/A,FALSE,"포장2"}</definedName>
    <definedName name="wrn.포장2." localSheetId="5" hidden="1">{#N/A,#N/A,FALSE,"포장2"}</definedName>
    <definedName name="wrn.표지목차." localSheetId="11" hidden="1">{#N/A,#N/A,FALSE,"표지목차"}</definedName>
    <definedName name="wrn.표지목차." localSheetId="10" hidden="1">{#N/A,#N/A,FALSE,"표지목차"}</definedName>
    <definedName name="wrn.표지목차." localSheetId="15" hidden="1">{#N/A,#N/A,FALSE,"표지목차"}</definedName>
    <definedName name="wrn.표지목차." localSheetId="13" hidden="1">{#N/A,#N/A,FALSE,"표지목차"}</definedName>
    <definedName name="wrn.표지목차." localSheetId="12" hidden="1">{#N/A,#N/A,FALSE,"표지목차"}</definedName>
    <definedName name="wrn.표지목차." localSheetId="9" hidden="1">{#N/A,#N/A,FALSE,"표지목차"}</definedName>
    <definedName name="wrn.표지목차." localSheetId="6" hidden="1">{#N/A,#N/A,FALSE,"표지목차"}</definedName>
    <definedName name="wrn.표지목차." localSheetId="14" hidden="1">{#N/A,#N/A,FALSE,"표지목차"}</definedName>
    <definedName name="wrn.표지목차." localSheetId="8" hidden="1">{#N/A,#N/A,FALSE,"표지목차"}</definedName>
    <definedName name="wrn.표지목차." localSheetId="5" hidden="1">{#N/A,#N/A,FALSE,"표지목차"}</definedName>
    <definedName name="wrn.혼합골재." localSheetId="11" hidden="1">{#N/A,#N/A,FALSE,"혼합골재"}</definedName>
    <definedName name="wrn.혼합골재." localSheetId="10" hidden="1">{#N/A,#N/A,FALSE,"혼합골재"}</definedName>
    <definedName name="wrn.혼합골재." localSheetId="15" hidden="1">{#N/A,#N/A,FALSE,"혼합골재"}</definedName>
    <definedName name="wrn.혼합골재." localSheetId="13" hidden="1">{#N/A,#N/A,FALSE,"혼합골재"}</definedName>
    <definedName name="wrn.혼합골재." localSheetId="12" hidden="1">{#N/A,#N/A,FALSE,"혼합골재"}</definedName>
    <definedName name="wrn.혼합골재." localSheetId="9" hidden="1">{#N/A,#N/A,FALSE,"혼합골재"}</definedName>
    <definedName name="wrn.혼합골재." localSheetId="6" hidden="1">{#N/A,#N/A,FALSE,"혼합골재"}</definedName>
    <definedName name="wrn.혼합골재." localSheetId="14" hidden="1">{#N/A,#N/A,FALSE,"혼합골재"}</definedName>
    <definedName name="wrn.혼합골재." localSheetId="8" hidden="1">{#N/A,#N/A,FALSE,"혼합골재"}</definedName>
    <definedName name="wrn.혼합골재." localSheetId="5" hidden="1">{#N/A,#N/A,FALSE,"혼합골재"}</definedName>
    <definedName name="Z">#N/A</definedName>
    <definedName name="건진철물" localSheetId="11">#REF!</definedName>
    <definedName name="건진철물" localSheetId="10">#REF!</definedName>
    <definedName name="건진철물" localSheetId="15">#REF!</definedName>
    <definedName name="건진철물" localSheetId="13">#REF!</definedName>
    <definedName name="건진철물" localSheetId="12">#REF!</definedName>
    <definedName name="건진철물" localSheetId="9">#REF!</definedName>
    <definedName name="건진철물" localSheetId="6">#REF!</definedName>
    <definedName name="건진철물" localSheetId="14">#REF!</definedName>
    <definedName name="검색위치2" localSheetId="11">#REF!</definedName>
    <definedName name="검색위치2" localSheetId="10">#REF!</definedName>
    <definedName name="검색위치2" localSheetId="15">#REF!</definedName>
    <definedName name="검색위치2" localSheetId="13">#REF!</definedName>
    <definedName name="검색위치2" localSheetId="12">#REF!</definedName>
    <definedName name="검색위치2" localSheetId="9">#REF!</definedName>
    <definedName name="검색위치2" localSheetId="6">#REF!</definedName>
    <definedName name="검색위치2" localSheetId="14">#REF!</definedName>
    <definedName name="견" localSheetId="8">#REF!</definedName>
    <definedName name="견" localSheetId="1">#REF!</definedName>
    <definedName name="견">#REF!</definedName>
    <definedName name="견적" localSheetId="11">Dlog_Show</definedName>
    <definedName name="견적" localSheetId="10">Dlog_Show</definedName>
    <definedName name="견적" localSheetId="15">Dlog_Show</definedName>
    <definedName name="견적" localSheetId="13">Dlog_Show</definedName>
    <definedName name="견적" localSheetId="12">Dlog_Show</definedName>
    <definedName name="견적" localSheetId="9">Dlog_Show</definedName>
    <definedName name="견적" localSheetId="6">Dlog_Show</definedName>
    <definedName name="견적" localSheetId="14">Dlog_Show</definedName>
    <definedName name="견적" localSheetId="8">Dlog_Show</definedName>
    <definedName name="견적" localSheetId="5">Dlog_Show</definedName>
    <definedName name="견적2" localSheetId="8">#REF!</definedName>
    <definedName name="견적2" localSheetId="1">#REF!</definedName>
    <definedName name="견적2">#REF!</definedName>
    <definedName name="견적3" localSheetId="8">#REF!</definedName>
    <definedName name="견적3" localSheetId="1">#REF!</definedName>
    <definedName name="견적3">#REF!</definedName>
    <definedName name="경비" localSheetId="2">#REF!</definedName>
    <definedName name="경비" localSheetId="4">#REF!</definedName>
    <definedName name="경비" localSheetId="5">#REF!</definedName>
    <definedName name="계경" localSheetId="11">#REF!</definedName>
    <definedName name="계경" localSheetId="10">#REF!</definedName>
    <definedName name="계경" localSheetId="15">#REF!</definedName>
    <definedName name="계경" localSheetId="13">#REF!</definedName>
    <definedName name="계경" localSheetId="12">#REF!</definedName>
    <definedName name="계경" localSheetId="9">#REF!</definedName>
    <definedName name="계경" localSheetId="6">#REF!</definedName>
    <definedName name="계경" localSheetId="14">#REF!</definedName>
    <definedName name="계노" localSheetId="11">#REF!</definedName>
    <definedName name="계노" localSheetId="10">#REF!</definedName>
    <definedName name="계노" localSheetId="15">#REF!</definedName>
    <definedName name="계노" localSheetId="13">#REF!</definedName>
    <definedName name="계노" localSheetId="12">#REF!</definedName>
    <definedName name="계노" localSheetId="9">#REF!</definedName>
    <definedName name="계노" localSheetId="6">#REF!</definedName>
    <definedName name="계노" localSheetId="14">#REF!</definedName>
    <definedName name="계수" localSheetId="11">#REF!</definedName>
    <definedName name="계수" localSheetId="10">#REF!</definedName>
    <definedName name="계수" localSheetId="15">#REF!</definedName>
    <definedName name="계수" localSheetId="13">#REF!</definedName>
    <definedName name="계수" localSheetId="12">#REF!</definedName>
    <definedName name="계수" localSheetId="9">#REF!</definedName>
    <definedName name="계수" localSheetId="6">#REF!</definedName>
    <definedName name="계수" localSheetId="14">#REF!</definedName>
    <definedName name="계재" localSheetId="11">#REF!</definedName>
    <definedName name="계재" localSheetId="10">#REF!</definedName>
    <definedName name="계재" localSheetId="15">#REF!</definedName>
    <definedName name="계재" localSheetId="13">#REF!</definedName>
    <definedName name="계재" localSheetId="12">#REF!</definedName>
    <definedName name="계재" localSheetId="9">#REF!</definedName>
    <definedName name="계재" localSheetId="6">#REF!</definedName>
    <definedName name="계재" localSheetId="14">#REF!</definedName>
    <definedName name="공사명" localSheetId="11">#REF!</definedName>
    <definedName name="공사명" localSheetId="10">#REF!</definedName>
    <definedName name="공사명" localSheetId="15">#REF!</definedName>
    <definedName name="공사명" localSheetId="13">#REF!</definedName>
    <definedName name="공사명" localSheetId="12">#REF!</definedName>
    <definedName name="공사명" localSheetId="9">#REF!</definedName>
    <definedName name="공사명" localSheetId="6">#REF!</definedName>
    <definedName name="공사명" localSheetId="14">#REF!</definedName>
    <definedName name="공사명" localSheetId="8">#REF!</definedName>
    <definedName name="군옥지업사" localSheetId="11">#REF!</definedName>
    <definedName name="군옥지업사" localSheetId="10">#REF!</definedName>
    <definedName name="군옥지업사" localSheetId="15">#REF!</definedName>
    <definedName name="군옥지업사" localSheetId="13">#REF!</definedName>
    <definedName name="군옥지업사" localSheetId="12">#REF!</definedName>
    <definedName name="군옥지업사" localSheetId="9">#REF!</definedName>
    <definedName name="군옥지업사" localSheetId="6">#REF!</definedName>
    <definedName name="군옥지업사" localSheetId="14">#REF!</definedName>
    <definedName name="김경오" localSheetId="11">#REF!</definedName>
    <definedName name="김경오" localSheetId="10">#REF!</definedName>
    <definedName name="김경오" localSheetId="15">#REF!</definedName>
    <definedName name="김경오" localSheetId="13">#REF!</definedName>
    <definedName name="김경오" localSheetId="12">#REF!</definedName>
    <definedName name="김경오" localSheetId="9">#REF!</definedName>
    <definedName name="김경오" localSheetId="6">#REF!</definedName>
    <definedName name="김경오" localSheetId="14">#REF!</definedName>
    <definedName name="김숙경" localSheetId="11">Dlog_Show</definedName>
    <definedName name="김숙경" localSheetId="10">Dlog_Show</definedName>
    <definedName name="김숙경" localSheetId="15">Dlog_Show</definedName>
    <definedName name="김숙경" localSheetId="13">Dlog_Show</definedName>
    <definedName name="김숙경" localSheetId="12">Dlog_Show</definedName>
    <definedName name="김숙경" localSheetId="9">Dlog_Show</definedName>
    <definedName name="김숙경" localSheetId="6">Dlog_Show</definedName>
    <definedName name="김숙경" localSheetId="14">Dlog_Show</definedName>
    <definedName name="김숙경" localSheetId="8">Dlog_Show</definedName>
    <definedName name="김숙경" localSheetId="5">Dlog_Show</definedName>
    <definedName name="김은영" localSheetId="11">Dlog_Show</definedName>
    <definedName name="김은영" localSheetId="10">Dlog_Show</definedName>
    <definedName name="김은영" localSheetId="15">Dlog_Show</definedName>
    <definedName name="김은영" localSheetId="13">Dlog_Show</definedName>
    <definedName name="김은영" localSheetId="12">Dlog_Show</definedName>
    <definedName name="김은영" localSheetId="9">Dlog_Show</definedName>
    <definedName name="김은영" localSheetId="6">Dlog_Show</definedName>
    <definedName name="김은영" localSheetId="14">Dlog_Show</definedName>
    <definedName name="김은영" localSheetId="8">Dlog_Show</definedName>
    <definedName name="김은영" localSheetId="5">Dlog_Show</definedName>
    <definedName name="김준규" localSheetId="11">#REF!</definedName>
    <definedName name="김준규" localSheetId="10">#REF!</definedName>
    <definedName name="김준규" localSheetId="15">#REF!</definedName>
    <definedName name="김준규" localSheetId="13">#REF!</definedName>
    <definedName name="김준규" localSheetId="12">#REF!</definedName>
    <definedName name="김준규" localSheetId="9">#REF!</definedName>
    <definedName name="김준규" localSheetId="6">#REF!</definedName>
    <definedName name="김준규" localSheetId="14">#REF!</definedName>
    <definedName name="ㄴㅇㅀ" localSheetId="11" hidden="1">{#N/A,#N/A,FALSE,"단가표지"}</definedName>
    <definedName name="ㄴㅇㅀ" localSheetId="10" hidden="1">{#N/A,#N/A,FALSE,"단가표지"}</definedName>
    <definedName name="ㄴㅇㅀ" localSheetId="15" hidden="1">{#N/A,#N/A,FALSE,"단가표지"}</definedName>
    <definedName name="ㄴㅇㅀ" localSheetId="13" hidden="1">{#N/A,#N/A,FALSE,"단가표지"}</definedName>
    <definedName name="ㄴㅇㅀ" localSheetId="12" hidden="1">{#N/A,#N/A,FALSE,"단가표지"}</definedName>
    <definedName name="ㄴㅇㅀ" localSheetId="9" hidden="1">{#N/A,#N/A,FALSE,"단가표지"}</definedName>
    <definedName name="ㄴㅇㅀ" localSheetId="6" hidden="1">{#N/A,#N/A,FALSE,"단가표지"}</definedName>
    <definedName name="ㄴㅇㅀ" localSheetId="14" hidden="1">{#N/A,#N/A,FALSE,"단가표지"}</definedName>
    <definedName name="ㄴㅇㅀ" localSheetId="8" hidden="1">{#N/A,#N/A,FALSE,"단가표지"}</definedName>
    <definedName name="ㄴㅇㅀ" localSheetId="5" hidden="1">{#N/A,#N/A,FALSE,"단가표지"}</definedName>
    <definedName name="낙찰가">#N/A</definedName>
    <definedName name="내장목공" localSheetId="11">Dlog_Show</definedName>
    <definedName name="내장목공" localSheetId="10">Dlog_Show</definedName>
    <definedName name="내장목공" localSheetId="15">Dlog_Show</definedName>
    <definedName name="내장목공" localSheetId="13">Dlog_Show</definedName>
    <definedName name="내장목공" localSheetId="12">Dlog_Show</definedName>
    <definedName name="내장목공" localSheetId="9">Dlog_Show</definedName>
    <definedName name="내장목공" localSheetId="6">Dlog_Show</definedName>
    <definedName name="내장목공" localSheetId="14">Dlog_Show</definedName>
    <definedName name="내장목공" localSheetId="8">Dlog_Show</definedName>
    <definedName name="내장목공" localSheetId="5">Dlog_Show</definedName>
    <definedName name="노무비" localSheetId="11">Dlog_Show</definedName>
    <definedName name="노무비" localSheetId="10">Dlog_Show</definedName>
    <definedName name="노무비" localSheetId="15">Dlog_Show</definedName>
    <definedName name="노무비" localSheetId="13">Dlog_Show</definedName>
    <definedName name="노무비" localSheetId="12">Dlog_Show</definedName>
    <definedName name="노무비" localSheetId="9">Dlog_Show</definedName>
    <definedName name="노무비" localSheetId="6">Dlog_Show</definedName>
    <definedName name="노무비" localSheetId="14">Dlog_Show</definedName>
    <definedName name="노무비" localSheetId="8">Dlog_Show</definedName>
    <definedName name="노무비" localSheetId="5">Dlog_Show</definedName>
    <definedName name="노부비" localSheetId="2">#REF!</definedName>
    <definedName name="노부비" localSheetId="4">#REF!</definedName>
    <definedName name="노부비" localSheetId="5">#REF!</definedName>
    <definedName name="대성건재" localSheetId="11">#REF!</definedName>
    <definedName name="대성건재" localSheetId="10">#REF!</definedName>
    <definedName name="대성건재" localSheetId="15">#REF!</definedName>
    <definedName name="대성건재" localSheetId="13">#REF!</definedName>
    <definedName name="대성건재" localSheetId="12">#REF!</definedName>
    <definedName name="대성건재" localSheetId="9">#REF!</definedName>
    <definedName name="대성건재" localSheetId="6">#REF!</definedName>
    <definedName name="대성건재" localSheetId="14">#REF!</definedName>
    <definedName name="도어록" localSheetId="11">#REF!</definedName>
    <definedName name="도어록" localSheetId="10">#REF!</definedName>
    <definedName name="도어록" localSheetId="15">#REF!</definedName>
    <definedName name="도어록" localSheetId="13">#REF!</definedName>
    <definedName name="도어록" localSheetId="12">#REF!</definedName>
    <definedName name="도어록" localSheetId="9">#REF!</definedName>
    <definedName name="도어록" localSheetId="6">#REF!</definedName>
    <definedName name="도어록" localSheetId="14">#REF!</definedName>
    <definedName name="동양유업" localSheetId="11">#REF!</definedName>
    <definedName name="동양유업" localSheetId="10">#REF!</definedName>
    <definedName name="동양유업" localSheetId="15">#REF!</definedName>
    <definedName name="동양유업" localSheetId="13">#REF!</definedName>
    <definedName name="동양유업" localSheetId="12">#REF!</definedName>
    <definedName name="동양유업" localSheetId="9">#REF!</definedName>
    <definedName name="동양유업" localSheetId="6">#REF!</definedName>
    <definedName name="동양유업" localSheetId="14">#REF!</definedName>
    <definedName name="ㄹㄹ" localSheetId="11">#REF!</definedName>
    <definedName name="ㄹㄹ" localSheetId="10">#REF!</definedName>
    <definedName name="ㄹㄹ" localSheetId="15">#REF!</definedName>
    <definedName name="ㄹㄹ" localSheetId="13">#REF!</definedName>
    <definedName name="ㄹㄹ" localSheetId="12">#REF!</definedName>
    <definedName name="ㄹㄹ" localSheetId="9">#REF!</definedName>
    <definedName name="ㄹㄹ" localSheetId="6">#REF!</definedName>
    <definedName name="ㄹㄹ" localSheetId="14">#REF!</definedName>
    <definedName name="ㄹㅇㄴ" localSheetId="11">Dlog_Show</definedName>
    <definedName name="ㄹㅇㄴ" localSheetId="10">Dlog_Show</definedName>
    <definedName name="ㄹㅇㄴ" localSheetId="15">Dlog_Show</definedName>
    <definedName name="ㄹㅇㄴ" localSheetId="13">Dlog_Show</definedName>
    <definedName name="ㄹㅇㄴ" localSheetId="12">Dlog_Show</definedName>
    <definedName name="ㄹㅇㄴ" localSheetId="9">Dlog_Show</definedName>
    <definedName name="ㄹㅇㄴ" localSheetId="6">Dlog_Show</definedName>
    <definedName name="ㄹㅇㄴ" localSheetId="14">Dlog_Show</definedName>
    <definedName name="ㄹㅇㄴ" localSheetId="8">Dlog_Show</definedName>
    <definedName name="ㄹㅇㄴ" localSheetId="5">Dlog_Show</definedName>
    <definedName name="모철호" localSheetId="11">#REF!</definedName>
    <definedName name="모철호" localSheetId="10">#REF!</definedName>
    <definedName name="모철호" localSheetId="15">#REF!</definedName>
    <definedName name="모철호" localSheetId="13">#REF!</definedName>
    <definedName name="모철호" localSheetId="12">#REF!</definedName>
    <definedName name="모철호" localSheetId="9">#REF!</definedName>
    <definedName name="모철호" localSheetId="6">#REF!</definedName>
    <definedName name="모철호" localSheetId="14">#REF!</definedName>
    <definedName name="목공11월" localSheetId="11">Dlog_Show</definedName>
    <definedName name="목공11월" localSheetId="10">Dlog_Show</definedName>
    <definedName name="목공11월" localSheetId="15">Dlog_Show</definedName>
    <definedName name="목공11월" localSheetId="13">Dlog_Show</definedName>
    <definedName name="목공11월" localSheetId="12">Dlog_Show</definedName>
    <definedName name="목공11월" localSheetId="9">Dlog_Show</definedName>
    <definedName name="목공11월" localSheetId="6">Dlog_Show</definedName>
    <definedName name="목공11월" localSheetId="14">Dlog_Show</definedName>
    <definedName name="목공11월" localSheetId="8">Dlog_Show</definedName>
    <definedName name="목공11월" localSheetId="5">Dlog_Show</definedName>
    <definedName name="문덕수" localSheetId="11">#REF!</definedName>
    <definedName name="문덕수" localSheetId="10">#REF!</definedName>
    <definedName name="문덕수" localSheetId="15">#REF!</definedName>
    <definedName name="문덕수" localSheetId="13">#REF!</definedName>
    <definedName name="문덕수" localSheetId="12">#REF!</definedName>
    <definedName name="문덕수" localSheetId="9">#REF!</definedName>
    <definedName name="문덕수" localSheetId="6">#REF!</definedName>
    <definedName name="문덕수" localSheetId="14">#REF!</definedName>
    <definedName name="ㅂㅂ" localSheetId="8" hidden="1">{#N/A,#N/A,FALSE,"단가표지"}</definedName>
    <definedName name="ㅂㅂㅂ" localSheetId="11" hidden="1">{#N/A,#N/A,FALSE,"단가표지"}</definedName>
    <definedName name="ㅂㅂㅂ" localSheetId="10" hidden="1">{#N/A,#N/A,FALSE,"단가표지"}</definedName>
    <definedName name="ㅂㅂㅂ" localSheetId="15" hidden="1">{#N/A,#N/A,FALSE,"단가표지"}</definedName>
    <definedName name="ㅂㅂㅂ" localSheetId="13" hidden="1">{#N/A,#N/A,FALSE,"단가표지"}</definedName>
    <definedName name="ㅂㅂㅂ" localSheetId="12" hidden="1">{#N/A,#N/A,FALSE,"단가표지"}</definedName>
    <definedName name="ㅂㅂㅂ" localSheetId="9" hidden="1">{#N/A,#N/A,FALSE,"단가표지"}</definedName>
    <definedName name="ㅂㅂㅂ" localSheetId="6" hidden="1">{#N/A,#N/A,FALSE,"단가표지"}</definedName>
    <definedName name="ㅂㅂㅂ" localSheetId="14" hidden="1">{#N/A,#N/A,FALSE,"단가표지"}</definedName>
    <definedName name="ㅂㅂㅂ" localSheetId="8" hidden="1">{#N/A,#N/A,FALSE,"단가표지"}</definedName>
    <definedName name="ㅂㅂㅂ" localSheetId="5" hidden="1">{#N/A,#N/A,FALSE,"단가표지"}</definedName>
    <definedName name="박병섭" localSheetId="11">#REF!</definedName>
    <definedName name="박병섭" localSheetId="10">#REF!</definedName>
    <definedName name="박병섭" localSheetId="15">#REF!</definedName>
    <definedName name="박병섭" localSheetId="13">#REF!</definedName>
    <definedName name="박병섭" localSheetId="12">#REF!</definedName>
    <definedName name="박병섭" localSheetId="9">#REF!</definedName>
    <definedName name="박병섭" localSheetId="6">#REF!</definedName>
    <definedName name="박병섭" localSheetId="14">#REF!</definedName>
    <definedName name="박상민" localSheetId="11">#REF!</definedName>
    <definedName name="박상민" localSheetId="10">#REF!</definedName>
    <definedName name="박상민" localSheetId="15">#REF!</definedName>
    <definedName name="박상민" localSheetId="13">#REF!</definedName>
    <definedName name="박상민" localSheetId="12">#REF!</definedName>
    <definedName name="박상민" localSheetId="9">#REF!</definedName>
    <definedName name="박상민" localSheetId="6">#REF!</definedName>
    <definedName name="박상민" localSheetId="14">#REF!</definedName>
    <definedName name="박승호" localSheetId="11">#REF!</definedName>
    <definedName name="박승호" localSheetId="10">#REF!</definedName>
    <definedName name="박승호" localSheetId="15">#REF!</definedName>
    <definedName name="박승호" localSheetId="13">#REF!</definedName>
    <definedName name="박승호" localSheetId="12">#REF!</definedName>
    <definedName name="박승호" localSheetId="9">#REF!</definedName>
    <definedName name="박승호" localSheetId="6">#REF!</definedName>
    <definedName name="박승호" localSheetId="14">#REF!</definedName>
    <definedName name="박은하" localSheetId="11">Dlog_Show</definedName>
    <definedName name="박은하" localSheetId="10">Dlog_Show</definedName>
    <definedName name="박은하" localSheetId="15">Dlog_Show</definedName>
    <definedName name="박은하" localSheetId="13">Dlog_Show</definedName>
    <definedName name="박은하" localSheetId="12">Dlog_Show</definedName>
    <definedName name="박은하" localSheetId="9">Dlog_Show</definedName>
    <definedName name="박은하" localSheetId="6">Dlog_Show</definedName>
    <definedName name="박은하" localSheetId="14">Dlog_Show</definedName>
    <definedName name="박은하" localSheetId="8">Dlog_Show</definedName>
    <definedName name="박은하" localSheetId="5">Dlog_Show</definedName>
    <definedName name="박형봉" localSheetId="11">#REF!</definedName>
    <definedName name="박형봉" localSheetId="10">#REF!</definedName>
    <definedName name="박형봉" localSheetId="15">#REF!</definedName>
    <definedName name="박형봉" localSheetId="13">#REF!</definedName>
    <definedName name="박형봉" localSheetId="12">#REF!</definedName>
    <definedName name="박형봉" localSheetId="9">#REF!</definedName>
    <definedName name="박형봉" localSheetId="6">#REF!</definedName>
    <definedName name="박형봉" localSheetId="14">#REF!</definedName>
    <definedName name="백삼수2" localSheetId="11">Dlog_Show</definedName>
    <definedName name="백삼수2" localSheetId="10">Dlog_Show</definedName>
    <definedName name="백삼수2" localSheetId="15">Dlog_Show</definedName>
    <definedName name="백삼수2" localSheetId="13">Dlog_Show</definedName>
    <definedName name="백삼수2" localSheetId="12">Dlog_Show</definedName>
    <definedName name="백삼수2" localSheetId="9">Dlog_Show</definedName>
    <definedName name="백삼수2" localSheetId="6">Dlog_Show</definedName>
    <definedName name="백삼수2" localSheetId="14">Dlog_Show</definedName>
    <definedName name="백삼수2" localSheetId="8">Dlog_Show</definedName>
    <definedName name="백삼수2" localSheetId="5">Dlog_Show</definedName>
    <definedName name="변경분" localSheetId="11">#REF!</definedName>
    <definedName name="변경분" localSheetId="10">#REF!</definedName>
    <definedName name="변경분" localSheetId="15">#REF!</definedName>
    <definedName name="변경분" localSheetId="13">#REF!</definedName>
    <definedName name="변경분" localSheetId="12">#REF!</definedName>
    <definedName name="변경분" localSheetId="9">#REF!</definedName>
    <definedName name="변경분" localSheetId="6">#REF!</definedName>
    <definedName name="변경분" localSheetId="14">#REF!</definedName>
    <definedName name="부대내역비교" localSheetId="8">#REF!</definedName>
    <definedName name="부대내역비교" localSheetId="1">#REF!</definedName>
    <definedName name="부대내역비교">#REF!</definedName>
    <definedName name="부대사항" localSheetId="8">#REF!</definedName>
    <definedName name="부대사항" localSheetId="1">#REF!</definedName>
    <definedName name="부대사항">#REF!</definedName>
    <definedName name="부대입찰잡비" localSheetId="11">Dlog_Show</definedName>
    <definedName name="부대입찰잡비" localSheetId="10">Dlog_Show</definedName>
    <definedName name="부대입찰잡비" localSheetId="15">Dlog_Show</definedName>
    <definedName name="부대입찰잡비" localSheetId="13">Dlog_Show</definedName>
    <definedName name="부대입찰잡비" localSheetId="12">Dlog_Show</definedName>
    <definedName name="부대입찰잡비" localSheetId="9">Dlog_Show</definedName>
    <definedName name="부대입찰잡비" localSheetId="6">Dlog_Show</definedName>
    <definedName name="부대입찰잡비" localSheetId="14">Dlog_Show</definedName>
    <definedName name="부대입찰잡비" localSheetId="8">Dlog_Show</definedName>
    <definedName name="부대입찰잡비" localSheetId="5">Dlog_Show</definedName>
    <definedName name="부토" localSheetId="11">Dlog_Show</definedName>
    <definedName name="부토" localSheetId="10">Dlog_Show</definedName>
    <definedName name="부토" localSheetId="15">Dlog_Show</definedName>
    <definedName name="부토" localSheetId="13">Dlog_Show</definedName>
    <definedName name="부토" localSheetId="12">Dlog_Show</definedName>
    <definedName name="부토" localSheetId="9">Dlog_Show</definedName>
    <definedName name="부토" localSheetId="6">Dlog_Show</definedName>
    <definedName name="부토" localSheetId="14">Dlog_Show</definedName>
    <definedName name="부토" localSheetId="8">Dlog_Show</definedName>
    <definedName name="부토" localSheetId="5">Dlog_Show</definedName>
    <definedName name="비계" localSheetId="8">#REF!</definedName>
    <definedName name="비계" localSheetId="1">#REF!</definedName>
    <definedName name="비계">#REF!</definedName>
    <definedName name="비목1" localSheetId="11">#REF!</definedName>
    <definedName name="비목1" localSheetId="10">#REF!</definedName>
    <definedName name="비목1" localSheetId="15">#REF!</definedName>
    <definedName name="비목1" localSheetId="13">#REF!</definedName>
    <definedName name="비목1" localSheetId="12">#REF!</definedName>
    <definedName name="비목1" localSheetId="9">#REF!</definedName>
    <definedName name="비목1" localSheetId="6">#REF!</definedName>
    <definedName name="비목1" localSheetId="14">#REF!</definedName>
    <definedName name="비목1" localSheetId="8">#REF!</definedName>
    <definedName name="비목2" localSheetId="11">#REF!</definedName>
    <definedName name="비목2" localSheetId="10">#REF!</definedName>
    <definedName name="비목2" localSheetId="15">#REF!</definedName>
    <definedName name="비목2" localSheetId="13">#REF!</definedName>
    <definedName name="비목2" localSheetId="12">#REF!</definedName>
    <definedName name="비목2" localSheetId="9">#REF!</definedName>
    <definedName name="비목2" localSheetId="6">#REF!</definedName>
    <definedName name="비목2" localSheetId="14">#REF!</definedName>
    <definedName name="비목2" localSheetId="8">#REF!</definedName>
    <definedName name="비목3" localSheetId="11">#REF!</definedName>
    <definedName name="비목3" localSheetId="10">#REF!</definedName>
    <definedName name="비목3" localSheetId="15">#REF!</definedName>
    <definedName name="비목3" localSheetId="13">#REF!</definedName>
    <definedName name="비목3" localSheetId="12">#REF!</definedName>
    <definedName name="비목3" localSheetId="9">#REF!</definedName>
    <definedName name="비목3" localSheetId="6">#REF!</definedName>
    <definedName name="비목3" localSheetId="14">#REF!</definedName>
    <definedName name="비목3" localSheetId="8">#REF!</definedName>
    <definedName name="비목4" localSheetId="11">#REF!</definedName>
    <definedName name="비목4" localSheetId="10">#REF!</definedName>
    <definedName name="비목4" localSheetId="15">#REF!</definedName>
    <definedName name="비목4" localSheetId="13">#REF!</definedName>
    <definedName name="비목4" localSheetId="12">#REF!</definedName>
    <definedName name="비목4" localSheetId="9">#REF!</definedName>
    <definedName name="비목4" localSheetId="6">#REF!</definedName>
    <definedName name="비목4" localSheetId="14">#REF!</definedName>
    <definedName name="비목4" localSheetId="8">#REF!</definedName>
    <definedName name="비율" localSheetId="8">#REF!</definedName>
    <definedName name="비율" localSheetId="1">#REF!</definedName>
    <definedName name="비율">#REF!</definedName>
    <definedName name="서부레미콘" localSheetId="11">#REF!</definedName>
    <definedName name="서부레미콘" localSheetId="10">#REF!</definedName>
    <definedName name="서부레미콘" localSheetId="15">#REF!</definedName>
    <definedName name="서부레미콘" localSheetId="13">#REF!</definedName>
    <definedName name="서부레미콘" localSheetId="12">#REF!</definedName>
    <definedName name="서부레미콘" localSheetId="9">#REF!</definedName>
    <definedName name="서부레미콘" localSheetId="6">#REF!</definedName>
    <definedName name="서부레미콘" localSheetId="14">#REF!</definedName>
    <definedName name="설계">#N/A</definedName>
    <definedName name="설계가">#N/A</definedName>
    <definedName name="식당" localSheetId="11">#REF!</definedName>
    <definedName name="식당" localSheetId="10">#REF!</definedName>
    <definedName name="식당" localSheetId="15">#REF!</definedName>
    <definedName name="식당" localSheetId="13">#REF!</definedName>
    <definedName name="식당" localSheetId="12">#REF!</definedName>
    <definedName name="식당" localSheetId="9">#REF!</definedName>
    <definedName name="식당" localSheetId="6">#REF!</definedName>
    <definedName name="식당" localSheetId="14">#REF!</definedName>
    <definedName name="실행" localSheetId="11" hidden="1">{#N/A,#N/A,FALSE,"운반시간"}</definedName>
    <definedName name="실행" localSheetId="10" hidden="1">{#N/A,#N/A,FALSE,"운반시간"}</definedName>
    <definedName name="실행" localSheetId="15" hidden="1">{#N/A,#N/A,FALSE,"운반시간"}</definedName>
    <definedName name="실행" localSheetId="13" hidden="1">{#N/A,#N/A,FALSE,"운반시간"}</definedName>
    <definedName name="실행" localSheetId="12" hidden="1">{#N/A,#N/A,FALSE,"운반시간"}</definedName>
    <definedName name="실행" localSheetId="9" hidden="1">{#N/A,#N/A,FALSE,"운반시간"}</definedName>
    <definedName name="실행" localSheetId="6" hidden="1">{#N/A,#N/A,FALSE,"운반시간"}</definedName>
    <definedName name="실행" localSheetId="14" hidden="1">{#N/A,#N/A,FALSE,"운반시간"}</definedName>
    <definedName name="실행" localSheetId="8" hidden="1">{#N/A,#N/A,FALSE,"운반시간"}</definedName>
    <definedName name="실행" localSheetId="5" hidden="1">{#N/A,#N/A,FALSE,"운반시간"}</definedName>
    <definedName name="실행예산" localSheetId="11" hidden="1">{#N/A,#N/A,FALSE,"조골재"}</definedName>
    <definedName name="실행예산" localSheetId="10" hidden="1">{#N/A,#N/A,FALSE,"조골재"}</definedName>
    <definedName name="실행예산" localSheetId="15" hidden="1">{#N/A,#N/A,FALSE,"조골재"}</definedName>
    <definedName name="실행예산" localSheetId="13" hidden="1">{#N/A,#N/A,FALSE,"조골재"}</definedName>
    <definedName name="실행예산" localSheetId="12" hidden="1">{#N/A,#N/A,FALSE,"조골재"}</definedName>
    <definedName name="실행예산" localSheetId="9" hidden="1">{#N/A,#N/A,FALSE,"조골재"}</definedName>
    <definedName name="실행예산" localSheetId="6" hidden="1">{#N/A,#N/A,FALSE,"조골재"}</definedName>
    <definedName name="실행예산" localSheetId="14" hidden="1">{#N/A,#N/A,FALSE,"조골재"}</definedName>
    <definedName name="실행예산" localSheetId="8" hidden="1">{#N/A,#N/A,FALSE,"조골재"}</definedName>
    <definedName name="실행예산" localSheetId="5" hidden="1">{#N/A,#N/A,FALSE,"조골재"}</definedName>
    <definedName name="실행예산내역1" localSheetId="11">Dlog_Show</definedName>
    <definedName name="실행예산내역1" localSheetId="10">Dlog_Show</definedName>
    <definedName name="실행예산내역1" localSheetId="15">Dlog_Show</definedName>
    <definedName name="실행예산내역1" localSheetId="13">Dlog_Show</definedName>
    <definedName name="실행예산내역1" localSheetId="12">Dlog_Show</definedName>
    <definedName name="실행예산내역1" localSheetId="9">Dlog_Show</definedName>
    <definedName name="실행예산내역1" localSheetId="6">Dlog_Show</definedName>
    <definedName name="실행예산내역1" localSheetId="14">Dlog_Show</definedName>
    <definedName name="실행예산내역1" localSheetId="8">Dlog_Show</definedName>
    <definedName name="실행예산내역1" localSheetId="5">Dlog_Show</definedName>
    <definedName name="실행예산내역보기" localSheetId="11" hidden="1">{#N/A,#N/A,FALSE,"포장2"}</definedName>
    <definedName name="실행예산내역보기" localSheetId="10" hidden="1">{#N/A,#N/A,FALSE,"포장2"}</definedName>
    <definedName name="실행예산내역보기" localSheetId="15" hidden="1">{#N/A,#N/A,FALSE,"포장2"}</definedName>
    <definedName name="실행예산내역보기" localSheetId="13" hidden="1">{#N/A,#N/A,FALSE,"포장2"}</definedName>
    <definedName name="실행예산내역보기" localSheetId="12" hidden="1">{#N/A,#N/A,FALSE,"포장2"}</definedName>
    <definedName name="실행예산내역보기" localSheetId="9" hidden="1">{#N/A,#N/A,FALSE,"포장2"}</definedName>
    <definedName name="실행예산내역보기" localSheetId="6" hidden="1">{#N/A,#N/A,FALSE,"포장2"}</definedName>
    <definedName name="실행예산내역보기" localSheetId="14" hidden="1">{#N/A,#N/A,FALSE,"포장2"}</definedName>
    <definedName name="실행예산내역보기" localSheetId="8" hidden="1">{#N/A,#N/A,FALSE,"포장2"}</definedName>
    <definedName name="실행예산내역보기" localSheetId="5" hidden="1">{#N/A,#N/A,FALSE,"포장2"}</definedName>
    <definedName name="ㅇㅇ" localSheetId="11" hidden="1">{#N/A,#N/A,FALSE,"단가표지"}</definedName>
    <definedName name="ㅇㅇ" localSheetId="10" hidden="1">{#N/A,#N/A,FALSE,"단가표지"}</definedName>
    <definedName name="ㅇㅇ" localSheetId="15" hidden="1">{#N/A,#N/A,FALSE,"단가표지"}</definedName>
    <definedName name="ㅇㅇ" localSheetId="13" hidden="1">{#N/A,#N/A,FALSE,"단가표지"}</definedName>
    <definedName name="ㅇㅇ" localSheetId="12" hidden="1">{#N/A,#N/A,FALSE,"단가표지"}</definedName>
    <definedName name="ㅇㅇ" localSheetId="9" hidden="1">{#N/A,#N/A,FALSE,"단가표지"}</definedName>
    <definedName name="ㅇㅇ" localSheetId="6" hidden="1">{#N/A,#N/A,FALSE,"단가표지"}</definedName>
    <definedName name="ㅇㅇ" localSheetId="14" hidden="1">{#N/A,#N/A,FALSE,"단가표지"}</definedName>
    <definedName name="ㅇㅇ" localSheetId="8" hidden="1">{#N/A,#N/A,FALSE,"단가표지"}</definedName>
    <definedName name="ㅇㅇ" localSheetId="5" hidden="1">{#N/A,#N/A,FALSE,"단가표지"}</definedName>
    <definedName name="안녕" localSheetId="11" hidden="1">{#N/A,#N/A,FALSE,"배수1"}</definedName>
    <definedName name="안녕" localSheetId="10" hidden="1">{#N/A,#N/A,FALSE,"배수1"}</definedName>
    <definedName name="안녕" localSheetId="15" hidden="1">{#N/A,#N/A,FALSE,"배수1"}</definedName>
    <definedName name="안녕" localSheetId="13" hidden="1">{#N/A,#N/A,FALSE,"배수1"}</definedName>
    <definedName name="안녕" localSheetId="12" hidden="1">{#N/A,#N/A,FALSE,"배수1"}</definedName>
    <definedName name="안녕" localSheetId="9" hidden="1">{#N/A,#N/A,FALSE,"배수1"}</definedName>
    <definedName name="안녕" localSheetId="6" hidden="1">{#N/A,#N/A,FALSE,"배수1"}</definedName>
    <definedName name="안녕" localSheetId="14" hidden="1">{#N/A,#N/A,FALSE,"배수1"}</definedName>
    <definedName name="안녕" localSheetId="8" hidden="1">{#N/A,#N/A,FALSE,"배수1"}</definedName>
    <definedName name="안녕" localSheetId="5" hidden="1">{#N/A,#N/A,FALSE,"배수1"}</definedName>
    <definedName name="안전관리비" localSheetId="8">Dlog_Show</definedName>
    <definedName name="양동규" localSheetId="11">#REF!</definedName>
    <definedName name="양동규" localSheetId="10">#REF!</definedName>
    <definedName name="양동규" localSheetId="15">#REF!</definedName>
    <definedName name="양동규" localSheetId="13">#REF!</definedName>
    <definedName name="양동규" localSheetId="12">#REF!</definedName>
    <definedName name="양동규" localSheetId="9">#REF!</definedName>
    <definedName name="양동규" localSheetId="6">#REF!</definedName>
    <definedName name="양동규" localSheetId="14">#REF!</definedName>
    <definedName name="왕정안" localSheetId="11">#REF!</definedName>
    <definedName name="왕정안" localSheetId="10">#REF!</definedName>
    <definedName name="왕정안" localSheetId="15">#REF!</definedName>
    <definedName name="왕정안" localSheetId="13">#REF!</definedName>
    <definedName name="왕정안" localSheetId="12">#REF!</definedName>
    <definedName name="왕정안" localSheetId="9">#REF!</definedName>
    <definedName name="왕정안" localSheetId="6">#REF!</definedName>
    <definedName name="왕정안" localSheetId="14">#REF!</definedName>
    <definedName name="우진산업사" localSheetId="11">#REF!</definedName>
    <definedName name="우진산업사" localSheetId="10">#REF!</definedName>
    <definedName name="우진산업사" localSheetId="15">#REF!</definedName>
    <definedName name="우진산업사" localSheetId="13">#REF!</definedName>
    <definedName name="우진산업사" localSheetId="12">#REF!</definedName>
    <definedName name="우진산업사" localSheetId="9">#REF!</definedName>
    <definedName name="우진산업사" localSheetId="6">#REF!</definedName>
    <definedName name="우진산업사" localSheetId="14">#REF!</definedName>
    <definedName name="원가22" localSheetId="11" hidden="1">{#N/A,#N/A,FALSE,"단가표지"}</definedName>
    <definedName name="원가22" localSheetId="10" hidden="1">{#N/A,#N/A,FALSE,"단가표지"}</definedName>
    <definedName name="원가22" localSheetId="15" hidden="1">{#N/A,#N/A,FALSE,"단가표지"}</definedName>
    <definedName name="원가22" localSheetId="13" hidden="1">{#N/A,#N/A,FALSE,"단가표지"}</definedName>
    <definedName name="원가22" localSheetId="12" hidden="1">{#N/A,#N/A,FALSE,"단가표지"}</definedName>
    <definedName name="원가22" localSheetId="9" hidden="1">{#N/A,#N/A,FALSE,"단가표지"}</definedName>
    <definedName name="원가22" localSheetId="6" hidden="1">{#N/A,#N/A,FALSE,"단가표지"}</definedName>
    <definedName name="원가22" localSheetId="14" hidden="1">{#N/A,#N/A,FALSE,"단가표지"}</definedName>
    <definedName name="원가22" localSheetId="8" hidden="1">{#N/A,#N/A,FALSE,"단가표지"}</definedName>
    <definedName name="원가22" localSheetId="5" hidden="1">{#N/A,#N/A,FALSE,"단가표지"}</definedName>
    <definedName name="월드그린" localSheetId="11">#REF!</definedName>
    <definedName name="월드그린" localSheetId="10">#REF!</definedName>
    <definedName name="월드그린" localSheetId="15">#REF!</definedName>
    <definedName name="월드그린" localSheetId="13">#REF!</definedName>
    <definedName name="월드그린" localSheetId="12">#REF!</definedName>
    <definedName name="월드그린" localSheetId="9">#REF!</definedName>
    <definedName name="월드그린" localSheetId="6">#REF!</definedName>
    <definedName name="월드그린" localSheetId="14">#REF!</definedName>
    <definedName name="위치">#N/A</definedName>
    <definedName name="이동위치" localSheetId="11">#REF!</definedName>
    <definedName name="이동위치" localSheetId="10">#REF!</definedName>
    <definedName name="이동위치" localSheetId="15">#REF!</definedName>
    <definedName name="이동위치" localSheetId="13">#REF!</definedName>
    <definedName name="이동위치" localSheetId="12">#REF!</definedName>
    <definedName name="이동위치" localSheetId="9">#REF!</definedName>
    <definedName name="이동위치" localSheetId="6">#REF!</definedName>
    <definedName name="이동위치" localSheetId="14">#REF!</definedName>
    <definedName name="자료위치" localSheetId="11">#REF!</definedName>
    <definedName name="자료위치" localSheetId="10">#REF!</definedName>
    <definedName name="자료위치" localSheetId="15">#REF!</definedName>
    <definedName name="자료위치" localSheetId="13">#REF!</definedName>
    <definedName name="자료위치" localSheetId="12">#REF!</definedName>
    <definedName name="자료위치" localSheetId="9">#REF!</definedName>
    <definedName name="자료위치" localSheetId="6">#REF!</definedName>
    <definedName name="자료위치" localSheetId="14">#REF!</definedName>
    <definedName name="장성옥" localSheetId="11">#REF!</definedName>
    <definedName name="장성옥" localSheetId="10">#REF!</definedName>
    <definedName name="장성옥" localSheetId="15">#REF!</definedName>
    <definedName name="장성옥" localSheetId="13">#REF!</definedName>
    <definedName name="장성옥" localSheetId="12">#REF!</definedName>
    <definedName name="장성옥" localSheetId="9">#REF!</definedName>
    <definedName name="장성옥" localSheetId="6">#REF!</definedName>
    <definedName name="장성옥" localSheetId="14">#REF!</definedName>
    <definedName name="장종삼" localSheetId="11">#REF!</definedName>
    <definedName name="장종삼" localSheetId="10">#REF!</definedName>
    <definedName name="장종삼" localSheetId="15">#REF!</definedName>
    <definedName name="장종삼" localSheetId="13">#REF!</definedName>
    <definedName name="장종삼" localSheetId="12">#REF!</definedName>
    <definedName name="장종삼" localSheetId="9">#REF!</definedName>
    <definedName name="장종삼" localSheetId="6">#REF!</definedName>
    <definedName name="장종삼" localSheetId="14">#REF!</definedName>
    <definedName name="재료비" localSheetId="2">#REF!</definedName>
    <definedName name="재료비" localSheetId="4">#REF!</definedName>
    <definedName name="재료비" localSheetId="5">#REF!</definedName>
    <definedName name="전주골재" localSheetId="11">#REF!</definedName>
    <definedName name="전주골재" localSheetId="10">#REF!</definedName>
    <definedName name="전주골재" localSheetId="15">#REF!</definedName>
    <definedName name="전주골재" localSheetId="13">#REF!</definedName>
    <definedName name="전주골재" localSheetId="12">#REF!</definedName>
    <definedName name="전주골재" localSheetId="9">#REF!</definedName>
    <definedName name="전주골재" localSheetId="6">#REF!</definedName>
    <definedName name="전주골재" localSheetId="14">#REF!</definedName>
    <definedName name="정미옥" localSheetId="11">#REF!</definedName>
    <definedName name="정미옥" localSheetId="10">#REF!</definedName>
    <definedName name="정미옥" localSheetId="15">#REF!</definedName>
    <definedName name="정미옥" localSheetId="13">#REF!</definedName>
    <definedName name="정미옥" localSheetId="12">#REF!</definedName>
    <definedName name="정미옥" localSheetId="9">#REF!</definedName>
    <definedName name="정미옥" localSheetId="6">#REF!</definedName>
    <definedName name="정미옥" localSheetId="14">#REF!</definedName>
    <definedName name="정재만" localSheetId="11">#REF!</definedName>
    <definedName name="정재만" localSheetId="10">#REF!</definedName>
    <definedName name="정재만" localSheetId="15">#REF!</definedName>
    <definedName name="정재만" localSheetId="13">#REF!</definedName>
    <definedName name="정재만" localSheetId="12">#REF!</definedName>
    <definedName name="정재만" localSheetId="9">#REF!</definedName>
    <definedName name="정재만" localSheetId="6">#REF!</definedName>
    <definedName name="정재만" localSheetId="14">#REF!</definedName>
    <definedName name="지역">#N/A</definedName>
    <definedName name="철근출력" localSheetId="11">Dlog_Show</definedName>
    <definedName name="철근출력" localSheetId="10">Dlog_Show</definedName>
    <definedName name="철근출력" localSheetId="15">Dlog_Show</definedName>
    <definedName name="철근출력" localSheetId="13">Dlog_Show</definedName>
    <definedName name="철근출력" localSheetId="12">Dlog_Show</definedName>
    <definedName name="철근출력" localSheetId="9">Dlog_Show</definedName>
    <definedName name="철근출력" localSheetId="6">Dlog_Show</definedName>
    <definedName name="철근출력" localSheetId="14">Dlog_Show</definedName>
    <definedName name="철근출력" localSheetId="8">Dlog_Show</definedName>
    <definedName name="철근출력" localSheetId="5">Dlog_Show</definedName>
    <definedName name="철콘" localSheetId="8">#REF!</definedName>
    <definedName name="철콘" localSheetId="1">#REF!</definedName>
    <definedName name="철콘">#REF!</definedName>
    <definedName name="총공" localSheetId="11" hidden="1">{#N/A,#N/A,FALSE,"운반시간"}</definedName>
    <definedName name="총공" localSheetId="10" hidden="1">{#N/A,#N/A,FALSE,"운반시간"}</definedName>
    <definedName name="총공" localSheetId="15" hidden="1">{#N/A,#N/A,FALSE,"운반시간"}</definedName>
    <definedName name="총공" localSheetId="13" hidden="1">{#N/A,#N/A,FALSE,"운반시간"}</definedName>
    <definedName name="총공" localSheetId="12" hidden="1">{#N/A,#N/A,FALSE,"운반시간"}</definedName>
    <definedName name="총공" localSheetId="9" hidden="1">{#N/A,#N/A,FALSE,"운반시간"}</definedName>
    <definedName name="총공" localSheetId="6" hidden="1">{#N/A,#N/A,FALSE,"운반시간"}</definedName>
    <definedName name="총공" localSheetId="14" hidden="1">{#N/A,#N/A,FALSE,"운반시간"}</definedName>
    <definedName name="총공" localSheetId="8" hidden="1">{#N/A,#N/A,FALSE,"운반시간"}</definedName>
    <definedName name="총공" localSheetId="5" hidden="1">{#N/A,#N/A,FALSE,"운반시간"}</definedName>
    <definedName name="총괄표" localSheetId="8">#REF!</definedName>
    <definedName name="총괄표" localSheetId="1">#REF!</definedName>
    <definedName name="총괄표">#REF!</definedName>
    <definedName name="최순조" localSheetId="11">#REF!</definedName>
    <definedName name="최순조" localSheetId="10">#REF!</definedName>
    <definedName name="최순조" localSheetId="15">#REF!</definedName>
    <definedName name="최순조" localSheetId="13">#REF!</definedName>
    <definedName name="최순조" localSheetId="12">#REF!</definedName>
    <definedName name="최순조" localSheetId="9">#REF!</definedName>
    <definedName name="최순조" localSheetId="6">#REF!</definedName>
    <definedName name="최순조" localSheetId="14">#REF!</definedName>
    <definedName name="최순조기지급" localSheetId="11">#REF!</definedName>
    <definedName name="최순조기지급" localSheetId="10">#REF!</definedName>
    <definedName name="최순조기지급" localSheetId="15">#REF!</definedName>
    <definedName name="최순조기지급" localSheetId="13">#REF!</definedName>
    <definedName name="최순조기지급" localSheetId="12">#REF!</definedName>
    <definedName name="최순조기지급" localSheetId="9">#REF!</definedName>
    <definedName name="최순조기지급" localSheetId="6">#REF!</definedName>
    <definedName name="최순조기지급" localSheetId="14">#REF!</definedName>
    <definedName name="템플리트모듈6" localSheetId="11">Dlog_Show</definedName>
    <definedName name="템플리트모듈6" localSheetId="10">Dlog_Show</definedName>
    <definedName name="템플리트모듈6" localSheetId="15">Dlog_Show</definedName>
    <definedName name="템플리트모듈6" localSheetId="13">Dlog_Show</definedName>
    <definedName name="템플리트모듈6" localSheetId="12">Dlog_Show</definedName>
    <definedName name="템플리트모듈6" localSheetId="9">Dlog_Show</definedName>
    <definedName name="템플리트모듈6" localSheetId="6">Dlog_Show</definedName>
    <definedName name="템플리트모듈6" localSheetId="14">Dlog_Show</definedName>
    <definedName name="템플리트모듈6" localSheetId="8">Dlog_Show</definedName>
    <definedName name="템플리트모듈6" localSheetId="5">Dlog_Show</definedName>
    <definedName name="토목설계" localSheetId="11" hidden="1">{#N/A,#N/A,FALSE,"골재소요량";#N/A,#N/A,FALSE,"골재소요량"}</definedName>
    <definedName name="토목설계" localSheetId="10" hidden="1">{#N/A,#N/A,FALSE,"골재소요량";#N/A,#N/A,FALSE,"골재소요량"}</definedName>
    <definedName name="토목설계" localSheetId="15" hidden="1">{#N/A,#N/A,FALSE,"골재소요량";#N/A,#N/A,FALSE,"골재소요량"}</definedName>
    <definedName name="토목설계" localSheetId="13" hidden="1">{#N/A,#N/A,FALSE,"골재소요량";#N/A,#N/A,FALSE,"골재소요량"}</definedName>
    <definedName name="토목설계" localSheetId="12" hidden="1">{#N/A,#N/A,FALSE,"골재소요량";#N/A,#N/A,FALSE,"골재소요량"}</definedName>
    <definedName name="토목설계" localSheetId="9" hidden="1">{#N/A,#N/A,FALSE,"골재소요량";#N/A,#N/A,FALSE,"골재소요량"}</definedName>
    <definedName name="토목설계" localSheetId="6" hidden="1">{#N/A,#N/A,FALSE,"골재소요량";#N/A,#N/A,FALSE,"골재소요량"}</definedName>
    <definedName name="토목설계" localSheetId="14" hidden="1">{#N/A,#N/A,FALSE,"골재소요량";#N/A,#N/A,FALSE,"골재소요량"}</definedName>
    <definedName name="토목설계" localSheetId="8" hidden="1">{#N/A,#N/A,FALSE,"골재소요량";#N/A,#N/A,FALSE,"골재소요량"}</definedName>
    <definedName name="토목설계" localSheetId="5" hidden="1">{#N/A,#N/A,FALSE,"골재소요량";#N/A,#N/A,FALSE,"골재소요량"}</definedName>
    <definedName name="표" localSheetId="11">#REF!</definedName>
    <definedName name="표" localSheetId="10">#REF!</definedName>
    <definedName name="표" localSheetId="15">#REF!</definedName>
    <definedName name="표" localSheetId="13">#REF!</definedName>
    <definedName name="표" localSheetId="12">#REF!</definedName>
    <definedName name="표" localSheetId="9">#REF!</definedName>
    <definedName name="표" localSheetId="6">#REF!</definedName>
    <definedName name="표" localSheetId="14">#REF!</definedName>
    <definedName name="표1" localSheetId="11">#REF!</definedName>
    <definedName name="표1" localSheetId="10">#REF!</definedName>
    <definedName name="표1" localSheetId="15">#REF!</definedName>
    <definedName name="표1" localSheetId="13">#REF!</definedName>
    <definedName name="표1" localSheetId="12">#REF!</definedName>
    <definedName name="표1" localSheetId="9">#REF!</definedName>
    <definedName name="표1" localSheetId="6">#REF!</definedName>
    <definedName name="표1" localSheetId="14">#REF!</definedName>
    <definedName name="하나전산" localSheetId="11">#REF!</definedName>
    <definedName name="하나전산" localSheetId="10">#REF!</definedName>
    <definedName name="하나전산" localSheetId="15">#REF!</definedName>
    <definedName name="하나전산" localSheetId="13">#REF!</definedName>
    <definedName name="하나전산" localSheetId="12">#REF!</definedName>
    <definedName name="하나전산" localSheetId="9">#REF!</definedName>
    <definedName name="하나전산" localSheetId="6">#REF!</definedName>
    <definedName name="하나전산" localSheetId="14">#REF!</definedName>
    <definedName name="하도급계획서" localSheetId="8">#REF!</definedName>
    <definedName name="하도급계획서" localSheetId="1">#REF!</definedName>
    <definedName name="하도급계획서">#REF!</definedName>
    <definedName name="합계" localSheetId="2">#REF!</definedName>
    <definedName name="합계" localSheetId="4">#REF!</definedName>
    <definedName name="합계" localSheetId="5">#REF!</definedName>
    <definedName name="행삭제" localSheetId="8">#REF!</definedName>
    <definedName name="행삭제" localSheetId="1">#REF!</definedName>
    <definedName name="행삭제">#REF!</definedName>
    <definedName name="효구" localSheetId="11">Dlog_Show</definedName>
    <definedName name="효구" localSheetId="10">Dlog_Show</definedName>
    <definedName name="효구" localSheetId="15">Dlog_Show</definedName>
    <definedName name="효구" localSheetId="13">Dlog_Show</definedName>
    <definedName name="효구" localSheetId="12">Dlog_Show</definedName>
    <definedName name="효구" localSheetId="9">Dlog_Show</definedName>
    <definedName name="효구" localSheetId="6">Dlog_Show</definedName>
    <definedName name="효구" localSheetId="14">Dlog_Show</definedName>
    <definedName name="효구" localSheetId="8">Dlog_Show</definedName>
    <definedName name="효구" localSheetId="5">Dlog_Show</definedName>
    <definedName name="효자" localSheetId="11">Dlog_Show</definedName>
    <definedName name="효자" localSheetId="10">Dlog_Show</definedName>
    <definedName name="효자" localSheetId="15">Dlog_Show</definedName>
    <definedName name="효자" localSheetId="13">Dlog_Show</definedName>
    <definedName name="효자" localSheetId="12">Dlog_Show</definedName>
    <definedName name="효자" localSheetId="9">Dlog_Show</definedName>
    <definedName name="효자" localSheetId="6">Dlog_Show</definedName>
    <definedName name="효자" localSheetId="14">Dlog_Show</definedName>
    <definedName name="효자" localSheetId="8">Dlog_Show</definedName>
    <definedName name="효자" localSheetId="5">Dlog_Show</definedName>
    <definedName name="효자건설" localSheetId="11">Dlog_Show</definedName>
    <definedName name="효자건설" localSheetId="10">Dlog_Show</definedName>
    <definedName name="효자건설" localSheetId="15">Dlog_Show</definedName>
    <definedName name="효자건설" localSheetId="13">Dlog_Show</definedName>
    <definedName name="효자건설" localSheetId="12">Dlog_Show</definedName>
    <definedName name="효자건설" localSheetId="9">Dlog_Show</definedName>
    <definedName name="효자건설" localSheetId="6">Dlog_Show</definedName>
    <definedName name="효자건설" localSheetId="14">Dlog_Show</definedName>
    <definedName name="효자건설" localSheetId="8">Dlog_Show</definedName>
    <definedName name="효자건설" localSheetId="5">Dlog_Show</definedName>
    <definedName name="ㅏ" localSheetId="8" hidden="1">{#N/A,#N/A,FALSE,"배수1"}</definedName>
    <definedName name="ㅐㅐ" localSheetId="11" hidden="1">{#N/A,#N/A,FALSE,"단가표지"}</definedName>
    <definedName name="ㅐㅐ" localSheetId="10" hidden="1">{#N/A,#N/A,FALSE,"단가표지"}</definedName>
    <definedName name="ㅐㅐ" localSheetId="15" hidden="1">{#N/A,#N/A,FALSE,"단가표지"}</definedName>
    <definedName name="ㅐㅐ" localSheetId="13" hidden="1">{#N/A,#N/A,FALSE,"단가표지"}</definedName>
    <definedName name="ㅐㅐ" localSheetId="12" hidden="1">{#N/A,#N/A,FALSE,"단가표지"}</definedName>
    <definedName name="ㅐㅐ" localSheetId="9" hidden="1">{#N/A,#N/A,FALSE,"단가표지"}</definedName>
    <definedName name="ㅐㅐ" localSheetId="6" hidden="1">{#N/A,#N/A,FALSE,"단가표지"}</definedName>
    <definedName name="ㅐㅐ" localSheetId="14" hidden="1">{#N/A,#N/A,FALSE,"단가표지"}</definedName>
    <definedName name="ㅐㅐ" localSheetId="8" hidden="1">{#N/A,#N/A,FALSE,"단가표지"}</definedName>
    <definedName name="ㅐㅐ" localSheetId="5" hidden="1">{#N/A,#N/A,FALSE,"단가표지"}</definedName>
    <definedName name="ㅓ" localSheetId="8" hidden="1">{#N/A,#N/A,FALSE,"배수2"}</definedName>
    <definedName name="ㅓㅏㅎ">#N/A</definedName>
    <definedName name="ㅡ" localSheetId="8">Dlog_Show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3" i="104" l="1"/>
  <c r="D23" i="104"/>
  <c r="H31" i="28" l="1"/>
  <c r="E17" i="104" l="1"/>
  <c r="E18" i="104"/>
  <c r="E20" i="104" s="1"/>
  <c r="E19" i="104"/>
  <c r="E16" i="104"/>
  <c r="E12" i="104"/>
  <c r="E13" i="104"/>
  <c r="E14" i="104"/>
  <c r="E11" i="104"/>
  <c r="E6" i="104"/>
  <c r="E7" i="104"/>
  <c r="E8" i="104"/>
  <c r="E9" i="104"/>
  <c r="E5" i="104"/>
  <c r="D21" i="104"/>
  <c r="D17" i="104"/>
  <c r="D18" i="104"/>
  <c r="D19" i="104"/>
  <c r="D16" i="104"/>
  <c r="D12" i="104"/>
  <c r="D13" i="104"/>
  <c r="D14" i="104"/>
  <c r="D11" i="104"/>
  <c r="D6" i="104"/>
  <c r="D7" i="104"/>
  <c r="D10" i="104" s="1"/>
  <c r="D8" i="104"/>
  <c r="D9" i="104"/>
  <c r="D5" i="104"/>
  <c r="C23" i="104"/>
  <c r="F23" i="104" s="1"/>
  <c r="C20" i="104"/>
  <c r="C14" i="104"/>
  <c r="C10" i="104"/>
  <c r="F14" i="104" l="1"/>
  <c r="E10" i="104"/>
  <c r="H10" i="104" s="1"/>
  <c r="D20" i="104"/>
  <c r="D15" i="104"/>
  <c r="D22" i="104" s="1"/>
  <c r="D24" i="104" s="1"/>
  <c r="H20" i="104"/>
  <c r="G20" i="104"/>
  <c r="E15" i="104"/>
  <c r="G10" i="104"/>
  <c r="F20" i="104"/>
  <c r="H14" i="104"/>
  <c r="G14" i="104"/>
  <c r="C15" i="104"/>
  <c r="F10" i="104" l="1"/>
  <c r="C22" i="104"/>
  <c r="F15" i="104"/>
  <c r="H15" i="104"/>
  <c r="G15" i="104"/>
  <c r="AI13" i="28"/>
  <c r="H65" i="91"/>
  <c r="I65" i="91" s="1"/>
  <c r="H66" i="91"/>
  <c r="I66" i="91"/>
  <c r="E63" i="91"/>
  <c r="F63" i="91" s="1"/>
  <c r="E64" i="91"/>
  <c r="F64" i="91"/>
  <c r="E65" i="91"/>
  <c r="K65" i="91" s="1"/>
  <c r="E66" i="91"/>
  <c r="K66" i="91" s="1"/>
  <c r="F66" i="91"/>
  <c r="F67" i="91"/>
  <c r="E59" i="91"/>
  <c r="F59" i="91"/>
  <c r="E55" i="91"/>
  <c r="F55" i="91"/>
  <c r="E56" i="91"/>
  <c r="F56" i="91" s="1"/>
  <c r="E48" i="91"/>
  <c r="F48" i="91" s="1"/>
  <c r="H43" i="91"/>
  <c r="I43" i="91" s="1"/>
  <c r="J43" i="91"/>
  <c r="H44" i="91"/>
  <c r="I44" i="91"/>
  <c r="J44" i="91"/>
  <c r="K44" i="91"/>
  <c r="L44" i="91"/>
  <c r="H45" i="91"/>
  <c r="I45" i="91" s="1"/>
  <c r="J45" i="91"/>
  <c r="K45" i="91"/>
  <c r="L45" i="91" s="1"/>
  <c r="E39" i="91"/>
  <c r="F39" i="91"/>
  <c r="E40" i="91"/>
  <c r="F40" i="91" s="1"/>
  <c r="E41" i="91"/>
  <c r="F41" i="91" s="1"/>
  <c r="E42" i="91"/>
  <c r="F42" i="91" s="1"/>
  <c r="E43" i="91"/>
  <c r="K43" i="91" s="1"/>
  <c r="E44" i="91"/>
  <c r="F44" i="91" s="1"/>
  <c r="E45" i="91"/>
  <c r="F45" i="91"/>
  <c r="E38" i="91"/>
  <c r="F38" i="91"/>
  <c r="H33" i="91"/>
  <c r="I33" i="91" s="1"/>
  <c r="J33" i="91"/>
  <c r="H34" i="91"/>
  <c r="I34" i="91" s="1"/>
  <c r="J34" i="91"/>
  <c r="E29" i="91"/>
  <c r="F29" i="91" s="1"/>
  <c r="E30" i="91"/>
  <c r="F30" i="91" s="1"/>
  <c r="E31" i="91"/>
  <c r="F31" i="91"/>
  <c r="E32" i="91"/>
  <c r="F32" i="91"/>
  <c r="E33" i="91"/>
  <c r="F33" i="91"/>
  <c r="E34" i="91"/>
  <c r="F34" i="91" s="1"/>
  <c r="E35" i="91"/>
  <c r="K35" i="91" s="1"/>
  <c r="F35" i="91"/>
  <c r="E28" i="91"/>
  <c r="F28" i="91" s="1"/>
  <c r="K18" i="91"/>
  <c r="L18" i="91" s="1"/>
  <c r="K19" i="91"/>
  <c r="K20" i="91"/>
  <c r="K21" i="91"/>
  <c r="J18" i="91"/>
  <c r="J19" i="91"/>
  <c r="L19" i="91" s="1"/>
  <c r="J20" i="91"/>
  <c r="L20" i="91" s="1"/>
  <c r="J21" i="91"/>
  <c r="L21" i="91" s="1"/>
  <c r="G79" i="91"/>
  <c r="D79" i="91"/>
  <c r="J78" i="91"/>
  <c r="H78" i="91"/>
  <c r="I78" i="91" s="1"/>
  <c r="K77" i="91"/>
  <c r="L77" i="91" s="1"/>
  <c r="J77" i="91"/>
  <c r="F77" i="91"/>
  <c r="J76" i="91"/>
  <c r="E76" i="91"/>
  <c r="K76" i="91" s="1"/>
  <c r="J75" i="91"/>
  <c r="H75" i="91"/>
  <c r="I75" i="91" s="1"/>
  <c r="E75" i="91"/>
  <c r="K75" i="91" s="1"/>
  <c r="J74" i="91"/>
  <c r="H74" i="91"/>
  <c r="E74" i="91"/>
  <c r="F74" i="91" s="1"/>
  <c r="J73" i="91"/>
  <c r="H73" i="91"/>
  <c r="I73" i="91" s="1"/>
  <c r="E73" i="91"/>
  <c r="F73" i="91" s="1"/>
  <c r="K72" i="91"/>
  <c r="J72" i="91"/>
  <c r="H72" i="91"/>
  <c r="I72" i="91" s="1"/>
  <c r="E72" i="91"/>
  <c r="F72" i="91" s="1"/>
  <c r="J71" i="91"/>
  <c r="H71" i="91"/>
  <c r="I71" i="91" s="1"/>
  <c r="E71" i="91"/>
  <c r="F71" i="91" s="1"/>
  <c r="J70" i="91"/>
  <c r="H70" i="91"/>
  <c r="K70" i="91" s="1"/>
  <c r="J69" i="91"/>
  <c r="H69" i="91"/>
  <c r="E69" i="91"/>
  <c r="G68" i="91"/>
  <c r="D68" i="91"/>
  <c r="J67" i="91"/>
  <c r="J66" i="91"/>
  <c r="J65" i="91"/>
  <c r="J64" i="91"/>
  <c r="H64" i="91"/>
  <c r="I64" i="91" s="1"/>
  <c r="K63" i="91"/>
  <c r="L63" i="91" s="1"/>
  <c r="J63" i="91"/>
  <c r="H63" i="91"/>
  <c r="I63" i="91" s="1"/>
  <c r="J62" i="91"/>
  <c r="H62" i="91"/>
  <c r="I62" i="91" s="1"/>
  <c r="E62" i="91"/>
  <c r="J61" i="91"/>
  <c r="H61" i="91"/>
  <c r="I61" i="91" s="1"/>
  <c r="E61" i="91"/>
  <c r="F61" i="91" s="1"/>
  <c r="J60" i="91"/>
  <c r="H60" i="91"/>
  <c r="I60" i="91" s="1"/>
  <c r="E60" i="91"/>
  <c r="K60" i="91" s="1"/>
  <c r="J59" i="91"/>
  <c r="H59" i="91"/>
  <c r="J58" i="91"/>
  <c r="H58" i="91"/>
  <c r="I58" i="91" s="1"/>
  <c r="E58" i="91"/>
  <c r="K58" i="91" s="1"/>
  <c r="G36" i="91"/>
  <c r="D36" i="91"/>
  <c r="J35" i="91"/>
  <c r="J32" i="91"/>
  <c r="H32" i="91"/>
  <c r="I32" i="91" s="1"/>
  <c r="J31" i="91"/>
  <c r="H31" i="91"/>
  <c r="J30" i="91"/>
  <c r="H30" i="91"/>
  <c r="J29" i="91"/>
  <c r="H29" i="91"/>
  <c r="I29" i="91" s="1"/>
  <c r="J28" i="91"/>
  <c r="H28" i="91"/>
  <c r="K28" i="91" s="1"/>
  <c r="J27" i="91"/>
  <c r="H27" i="91"/>
  <c r="E27" i="91"/>
  <c r="F27" i="91" s="1"/>
  <c r="AJ5" i="28"/>
  <c r="N24" i="28"/>
  <c r="N28" i="28" s="1"/>
  <c r="S21" i="28"/>
  <c r="N21" i="28"/>
  <c r="S20" i="28"/>
  <c r="N20" i="28"/>
  <c r="S19" i="28"/>
  <c r="N19" i="28"/>
  <c r="S17" i="28"/>
  <c r="N17" i="28"/>
  <c r="S16" i="28"/>
  <c r="N16" i="28"/>
  <c r="S15" i="28"/>
  <c r="N15" i="28"/>
  <c r="S14" i="28"/>
  <c r="N14" i="28"/>
  <c r="S13" i="28"/>
  <c r="N13" i="28"/>
  <c r="E26" i="100"/>
  <c r="F12" i="51"/>
  <c r="G12" i="51"/>
  <c r="H12" i="51"/>
  <c r="I12" i="51"/>
  <c r="J12" i="51"/>
  <c r="K12" i="51"/>
  <c r="L12" i="51"/>
  <c r="M12" i="51"/>
  <c r="N12" i="51"/>
  <c r="O12" i="51"/>
  <c r="E12" i="51"/>
  <c r="G10" i="51"/>
  <c r="H10" i="51"/>
  <c r="I10" i="51"/>
  <c r="J10" i="51"/>
  <c r="K10" i="51"/>
  <c r="L10" i="51"/>
  <c r="M10" i="51"/>
  <c r="N10" i="51"/>
  <c r="O10" i="51"/>
  <c r="F9" i="51"/>
  <c r="G9" i="51"/>
  <c r="H9" i="51"/>
  <c r="I9" i="51"/>
  <c r="J9" i="51"/>
  <c r="K9" i="51"/>
  <c r="L9" i="51"/>
  <c r="M9" i="51"/>
  <c r="N9" i="51"/>
  <c r="O9" i="51"/>
  <c r="E9" i="51"/>
  <c r="F8" i="51"/>
  <c r="G8" i="51"/>
  <c r="H8" i="51"/>
  <c r="I8" i="51"/>
  <c r="J8" i="51"/>
  <c r="K8" i="51"/>
  <c r="L8" i="51"/>
  <c r="M8" i="51"/>
  <c r="N8" i="51"/>
  <c r="O8" i="51"/>
  <c r="P8" i="51"/>
  <c r="Q8" i="51"/>
  <c r="R8" i="51"/>
  <c r="S8" i="51"/>
  <c r="T8" i="51"/>
  <c r="E8" i="51"/>
  <c r="F7" i="51"/>
  <c r="G7" i="51"/>
  <c r="H7" i="51"/>
  <c r="I7" i="51"/>
  <c r="J7" i="51"/>
  <c r="K7" i="51"/>
  <c r="L7" i="51"/>
  <c r="M7" i="51"/>
  <c r="N7" i="51"/>
  <c r="O7" i="51"/>
  <c r="P7" i="51"/>
  <c r="Q7" i="51"/>
  <c r="R7" i="51"/>
  <c r="S7" i="51"/>
  <c r="T7" i="51"/>
  <c r="E7" i="51"/>
  <c r="F6" i="51"/>
  <c r="G6" i="51"/>
  <c r="H6" i="51"/>
  <c r="I6" i="51"/>
  <c r="J6" i="51"/>
  <c r="K6" i="51"/>
  <c r="L6" i="51"/>
  <c r="M6" i="51"/>
  <c r="N6" i="51"/>
  <c r="O6" i="51"/>
  <c r="P6" i="51"/>
  <c r="Q6" i="51"/>
  <c r="R6" i="51"/>
  <c r="S6" i="51"/>
  <c r="T6" i="51"/>
  <c r="E6" i="51"/>
  <c r="F5" i="51"/>
  <c r="G5" i="51"/>
  <c r="H5" i="51"/>
  <c r="I5" i="51"/>
  <c r="J5" i="51"/>
  <c r="K5" i="51"/>
  <c r="L5" i="51"/>
  <c r="M5" i="51"/>
  <c r="N5" i="51"/>
  <c r="O5" i="51"/>
  <c r="E5" i="51"/>
  <c r="D12" i="51"/>
  <c r="D11" i="51"/>
  <c r="D10" i="51"/>
  <c r="D9" i="51"/>
  <c r="D8" i="51"/>
  <c r="D7" i="51"/>
  <c r="D6" i="51"/>
  <c r="D5" i="51"/>
  <c r="C24" i="104" l="1"/>
  <c r="K74" i="91"/>
  <c r="L74" i="91" s="1"/>
  <c r="J79" i="91"/>
  <c r="K67" i="91"/>
  <c r="K59" i="91"/>
  <c r="F65" i="91"/>
  <c r="F43" i="91"/>
  <c r="L43" i="91"/>
  <c r="K34" i="91"/>
  <c r="L34" i="91" s="1"/>
  <c r="K30" i="91"/>
  <c r="K31" i="91"/>
  <c r="K33" i="91"/>
  <c r="L33" i="91" s="1"/>
  <c r="F36" i="91"/>
  <c r="L35" i="91"/>
  <c r="I74" i="91"/>
  <c r="K32" i="91"/>
  <c r="L32" i="91" s="1"/>
  <c r="L66" i="91"/>
  <c r="K61" i="91"/>
  <c r="L61" i="91" s="1"/>
  <c r="H36" i="91"/>
  <c r="K62" i="91"/>
  <c r="L62" i="91" s="1"/>
  <c r="L72" i="91"/>
  <c r="F58" i="91"/>
  <c r="H68" i="91"/>
  <c r="K69" i="91"/>
  <c r="L69" i="91" s="1"/>
  <c r="H79" i="91"/>
  <c r="J68" i="91"/>
  <c r="I69" i="91"/>
  <c r="L70" i="91"/>
  <c r="L75" i="91"/>
  <c r="L76" i="91"/>
  <c r="K78" i="91"/>
  <c r="L78" i="91" s="1"/>
  <c r="I70" i="91"/>
  <c r="E79" i="91"/>
  <c r="F75" i="91"/>
  <c r="K73" i="91"/>
  <c r="F76" i="91"/>
  <c r="F69" i="91"/>
  <c r="K71" i="91"/>
  <c r="L71" i="91" s="1"/>
  <c r="L59" i="91"/>
  <c r="L60" i="91"/>
  <c r="L67" i="91"/>
  <c r="L65" i="91"/>
  <c r="L58" i="91"/>
  <c r="I67" i="91"/>
  <c r="F62" i="91"/>
  <c r="K64" i="91"/>
  <c r="I59" i="91"/>
  <c r="I68" i="91" s="1"/>
  <c r="E68" i="91"/>
  <c r="F60" i="91"/>
  <c r="L28" i="91"/>
  <c r="L30" i="91"/>
  <c r="L31" i="91"/>
  <c r="I30" i="91"/>
  <c r="I27" i="91"/>
  <c r="E36" i="91"/>
  <c r="K27" i="91"/>
  <c r="K29" i="91"/>
  <c r="L29" i="91" s="1"/>
  <c r="I31" i="91"/>
  <c r="I28" i="91"/>
  <c r="J36" i="91"/>
  <c r="AC26" i="28"/>
  <c r="X27" i="28"/>
  <c r="X26" i="28"/>
  <c r="S28" i="28"/>
  <c r="AC25" i="28"/>
  <c r="F79" i="91" l="1"/>
  <c r="K79" i="91"/>
  <c r="I79" i="91"/>
  <c r="F68" i="91"/>
  <c r="K68" i="91"/>
  <c r="L73" i="91"/>
  <c r="L79" i="91"/>
  <c r="L64" i="91"/>
  <c r="L68" i="91" s="1"/>
  <c r="K36" i="91"/>
  <c r="I36" i="91"/>
  <c r="L27" i="91"/>
  <c r="L36" i="91" s="1"/>
  <c r="H28" i="28" l="1"/>
  <c r="H22" i="28" l="1"/>
  <c r="H18" i="28"/>
  <c r="H23" i="28" s="1"/>
  <c r="H30" i="28" s="1"/>
  <c r="H32" i="28" s="1"/>
  <c r="T25" i="103" l="1"/>
  <c r="S25" i="103"/>
  <c r="R25" i="103"/>
  <c r="Q25" i="103"/>
  <c r="P25" i="103"/>
  <c r="O25" i="103"/>
  <c r="N25" i="103"/>
  <c r="M25" i="103"/>
  <c r="L25" i="103"/>
  <c r="K25" i="103"/>
  <c r="J25" i="103"/>
  <c r="I25" i="103"/>
  <c r="H25" i="103"/>
  <c r="G25" i="103"/>
  <c r="F25" i="103"/>
  <c r="E25" i="103"/>
  <c r="E26" i="103" s="1"/>
  <c r="D25" i="103"/>
  <c r="D26" i="103" s="1"/>
  <c r="U24" i="103"/>
  <c r="U23" i="103"/>
  <c r="U22" i="103"/>
  <c r="U21" i="103"/>
  <c r="U20" i="103"/>
  <c r="U19" i="103"/>
  <c r="U18" i="103"/>
  <c r="U17" i="103"/>
  <c r="U16" i="103"/>
  <c r="U15" i="103"/>
  <c r="U14" i="103"/>
  <c r="U13" i="103"/>
  <c r="U12" i="103"/>
  <c r="U11" i="103"/>
  <c r="U10" i="103"/>
  <c r="U9" i="103"/>
  <c r="U8" i="103"/>
  <c r="U7" i="103"/>
  <c r="U6" i="103"/>
  <c r="U5" i="103"/>
  <c r="U23" i="102"/>
  <c r="T28" i="102"/>
  <c r="S28" i="102"/>
  <c r="R28" i="102"/>
  <c r="Q28" i="102"/>
  <c r="P28" i="102"/>
  <c r="O28" i="102"/>
  <c r="N28" i="102"/>
  <c r="M28" i="102"/>
  <c r="L28" i="102"/>
  <c r="K28" i="102"/>
  <c r="J28" i="102"/>
  <c r="I28" i="102"/>
  <c r="H28" i="102"/>
  <c r="G28" i="102"/>
  <c r="F28" i="102"/>
  <c r="E28" i="102"/>
  <c r="D28" i="102"/>
  <c r="U27" i="102"/>
  <c r="U26" i="102"/>
  <c r="U25" i="102"/>
  <c r="T24" i="102"/>
  <c r="T29" i="102" s="1"/>
  <c r="S24" i="102"/>
  <c r="S29" i="102" s="1"/>
  <c r="R24" i="102"/>
  <c r="R29" i="102" s="1"/>
  <c r="Q24" i="102"/>
  <c r="Q29" i="102" s="1"/>
  <c r="P24" i="102"/>
  <c r="P29" i="102" s="1"/>
  <c r="O24" i="102"/>
  <c r="O29" i="102" s="1"/>
  <c r="N24" i="102"/>
  <c r="N29" i="102" s="1"/>
  <c r="M24" i="102"/>
  <c r="L24" i="102"/>
  <c r="K24" i="102"/>
  <c r="J24" i="102"/>
  <c r="I24" i="102"/>
  <c r="G24" i="102"/>
  <c r="F24" i="102"/>
  <c r="E24" i="102"/>
  <c r="D24" i="102"/>
  <c r="D29" i="102" s="1"/>
  <c r="D30" i="102" s="1"/>
  <c r="U22" i="102"/>
  <c r="U21" i="102"/>
  <c r="U20" i="102"/>
  <c r="U19" i="102"/>
  <c r="U18" i="102"/>
  <c r="U17" i="102"/>
  <c r="U16" i="102"/>
  <c r="U15" i="102"/>
  <c r="U14" i="102"/>
  <c r="U13" i="102"/>
  <c r="U12" i="102"/>
  <c r="U11" i="102"/>
  <c r="U10" i="102"/>
  <c r="U9" i="102"/>
  <c r="U8" i="102"/>
  <c r="U7" i="102"/>
  <c r="U6" i="102"/>
  <c r="U5" i="102"/>
  <c r="F26" i="103" l="1"/>
  <c r="G26" i="103" s="1"/>
  <c r="H26" i="103" s="1"/>
  <c r="I26" i="103" s="1"/>
  <c r="J26" i="103" s="1"/>
  <c r="K26" i="103" s="1"/>
  <c r="L26" i="103" s="1"/>
  <c r="M26" i="103" s="1"/>
  <c r="N26" i="103" s="1"/>
  <c r="O26" i="103" s="1"/>
  <c r="P26" i="103" s="1"/>
  <c r="Q26" i="103" s="1"/>
  <c r="R26" i="103" s="1"/>
  <c r="S26" i="103" s="1"/>
  <c r="T26" i="103" s="1"/>
  <c r="U25" i="103"/>
  <c r="U28" i="102"/>
  <c r="I29" i="102"/>
  <c r="J29" i="102"/>
  <c r="E29" i="102"/>
  <c r="F29" i="102"/>
  <c r="F10" i="51" s="1"/>
  <c r="G29" i="102"/>
  <c r="L29" i="102"/>
  <c r="U24" i="102"/>
  <c r="M29" i="102"/>
  <c r="H24" i="102"/>
  <c r="H29" i="102" s="1"/>
  <c r="K29" i="102"/>
  <c r="E30" i="102" l="1"/>
  <c r="E10" i="51"/>
  <c r="U29" i="102"/>
  <c r="F30" i="102"/>
  <c r="G30" i="102" s="1"/>
  <c r="H30" i="102" s="1"/>
  <c r="I30" i="102" s="1"/>
  <c r="J30" i="102" s="1"/>
  <c r="K30" i="102" s="1"/>
  <c r="L30" i="102" s="1"/>
  <c r="M30" i="102" s="1"/>
  <c r="N30" i="102" s="1"/>
  <c r="O30" i="102" s="1"/>
  <c r="P30" i="102" s="1"/>
  <c r="Q30" i="102" s="1"/>
  <c r="R30" i="102" s="1"/>
  <c r="S30" i="102" s="1"/>
  <c r="T30" i="102" s="1"/>
  <c r="E26" i="101" l="1"/>
  <c r="T25" i="101"/>
  <c r="S25" i="101"/>
  <c r="R25" i="101"/>
  <c r="Q25" i="101"/>
  <c r="P25" i="101"/>
  <c r="O25" i="101"/>
  <c r="N25" i="101"/>
  <c r="M25" i="101"/>
  <c r="L25" i="101"/>
  <c r="K25" i="101"/>
  <c r="J25" i="101"/>
  <c r="I25" i="101"/>
  <c r="H25" i="101"/>
  <c r="G25" i="101"/>
  <c r="F25" i="101"/>
  <c r="E25" i="101"/>
  <c r="D25" i="101"/>
  <c r="D26" i="101" s="1"/>
  <c r="U24" i="101"/>
  <c r="U23" i="101"/>
  <c r="U22" i="101"/>
  <c r="U21" i="101"/>
  <c r="U20" i="101"/>
  <c r="U19" i="101"/>
  <c r="U18" i="101"/>
  <c r="U17" i="101"/>
  <c r="U16" i="101"/>
  <c r="U15" i="101"/>
  <c r="U14" i="101"/>
  <c r="U13" i="101"/>
  <c r="U12" i="101"/>
  <c r="U11" i="101"/>
  <c r="U10" i="101"/>
  <c r="U9" i="101"/>
  <c r="U8" i="101"/>
  <c r="U7" i="101"/>
  <c r="U6" i="101"/>
  <c r="U5" i="101"/>
  <c r="T25" i="100"/>
  <c r="S25" i="100"/>
  <c r="R25" i="100"/>
  <c r="Q25" i="100"/>
  <c r="P25" i="100"/>
  <c r="O25" i="100"/>
  <c r="N25" i="100"/>
  <c r="M25" i="100"/>
  <c r="L25" i="100"/>
  <c r="K25" i="100"/>
  <c r="J25" i="100"/>
  <c r="I25" i="100"/>
  <c r="H25" i="100"/>
  <c r="G25" i="100"/>
  <c r="F25" i="100"/>
  <c r="E25" i="100"/>
  <c r="D25" i="100"/>
  <c r="D26" i="100" s="1"/>
  <c r="U24" i="100"/>
  <c r="U23" i="100"/>
  <c r="U22" i="100"/>
  <c r="U21" i="100"/>
  <c r="U20" i="100"/>
  <c r="U19" i="100"/>
  <c r="U18" i="100"/>
  <c r="U17" i="100"/>
  <c r="U16" i="100"/>
  <c r="U15" i="100"/>
  <c r="U14" i="100"/>
  <c r="U13" i="100"/>
  <c r="U12" i="100"/>
  <c r="U11" i="100"/>
  <c r="U10" i="100"/>
  <c r="U9" i="100"/>
  <c r="U8" i="100"/>
  <c r="U7" i="100"/>
  <c r="U6" i="100"/>
  <c r="U5" i="100"/>
  <c r="U25" i="100" s="1"/>
  <c r="E26" i="99"/>
  <c r="F26" i="99" s="1"/>
  <c r="G26" i="99" s="1"/>
  <c r="H26" i="99" s="1"/>
  <c r="I26" i="99" s="1"/>
  <c r="J26" i="99" s="1"/>
  <c r="K26" i="99" s="1"/>
  <c r="L26" i="99" s="1"/>
  <c r="M26" i="99" s="1"/>
  <c r="N26" i="99" s="1"/>
  <c r="O26" i="99" s="1"/>
  <c r="P26" i="99" s="1"/>
  <c r="Q26" i="99" s="1"/>
  <c r="R26" i="99" s="1"/>
  <c r="S26" i="99" s="1"/>
  <c r="T26" i="99" s="1"/>
  <c r="T25" i="99"/>
  <c r="S25" i="99"/>
  <c r="R25" i="99"/>
  <c r="Q25" i="99"/>
  <c r="P25" i="99"/>
  <c r="O25" i="99"/>
  <c r="N25" i="99"/>
  <c r="M25" i="99"/>
  <c r="L25" i="99"/>
  <c r="K25" i="99"/>
  <c r="J25" i="99"/>
  <c r="I25" i="99"/>
  <c r="H25" i="99"/>
  <c r="G25" i="99"/>
  <c r="F25" i="99"/>
  <c r="E25" i="99"/>
  <c r="D25" i="99"/>
  <c r="D26" i="99" s="1"/>
  <c r="U24" i="99"/>
  <c r="U23" i="99"/>
  <c r="U22" i="99"/>
  <c r="U21" i="99"/>
  <c r="U20" i="99"/>
  <c r="U19" i="99"/>
  <c r="U18" i="99"/>
  <c r="U17" i="99"/>
  <c r="U16" i="99"/>
  <c r="U15" i="99"/>
  <c r="U14" i="99"/>
  <c r="U13" i="99"/>
  <c r="U12" i="99"/>
  <c r="U11" i="99"/>
  <c r="U10" i="99"/>
  <c r="U9" i="99"/>
  <c r="U8" i="99"/>
  <c r="U7" i="99"/>
  <c r="U6" i="99"/>
  <c r="U5" i="99"/>
  <c r="U25" i="99" s="1"/>
  <c r="T25" i="98"/>
  <c r="S25" i="98"/>
  <c r="R25" i="98"/>
  <c r="Q25" i="98"/>
  <c r="P25" i="98"/>
  <c r="O25" i="98"/>
  <c r="N25" i="98"/>
  <c r="M25" i="98"/>
  <c r="L25" i="98"/>
  <c r="K25" i="98"/>
  <c r="J25" i="98"/>
  <c r="I25" i="98"/>
  <c r="H25" i="98"/>
  <c r="G25" i="98"/>
  <c r="F25" i="98"/>
  <c r="E25" i="98"/>
  <c r="E26" i="98" s="1"/>
  <c r="F26" i="98" s="1"/>
  <c r="G26" i="98" s="1"/>
  <c r="H26" i="98" s="1"/>
  <c r="I26" i="98" s="1"/>
  <c r="J26" i="98" s="1"/>
  <c r="K26" i="98" s="1"/>
  <c r="L26" i="98" s="1"/>
  <c r="M26" i="98" s="1"/>
  <c r="N26" i="98" s="1"/>
  <c r="O26" i="98" s="1"/>
  <c r="P26" i="98" s="1"/>
  <c r="Q26" i="98" s="1"/>
  <c r="R26" i="98" s="1"/>
  <c r="S26" i="98" s="1"/>
  <c r="T26" i="98" s="1"/>
  <c r="D25" i="98"/>
  <c r="D26" i="98" s="1"/>
  <c r="U24" i="98"/>
  <c r="U23" i="98"/>
  <c r="U22" i="98"/>
  <c r="U21" i="98"/>
  <c r="U20" i="98"/>
  <c r="U19" i="98"/>
  <c r="U18" i="98"/>
  <c r="U17" i="98"/>
  <c r="U16" i="98"/>
  <c r="U15" i="98"/>
  <c r="U14" i="98"/>
  <c r="U13" i="98"/>
  <c r="U12" i="98"/>
  <c r="U11" i="98"/>
  <c r="U10" i="98"/>
  <c r="U25" i="98" s="1"/>
  <c r="U9" i="98"/>
  <c r="U8" i="98"/>
  <c r="U7" i="98"/>
  <c r="U6" i="98"/>
  <c r="U5" i="98"/>
  <c r="T25" i="92"/>
  <c r="S25" i="92"/>
  <c r="R25" i="92"/>
  <c r="Q25" i="92"/>
  <c r="P25" i="92"/>
  <c r="O25" i="92"/>
  <c r="N25" i="92"/>
  <c r="M25" i="92"/>
  <c r="L25" i="92"/>
  <c r="K25" i="92"/>
  <c r="J25" i="92"/>
  <c r="I25" i="92"/>
  <c r="H25" i="92"/>
  <c r="G25" i="92"/>
  <c r="F25" i="92"/>
  <c r="E25" i="92"/>
  <c r="E26" i="92" s="1"/>
  <c r="D25" i="92"/>
  <c r="D26" i="92" s="1"/>
  <c r="U24" i="92"/>
  <c r="U23" i="92"/>
  <c r="U22" i="92"/>
  <c r="U21" i="92"/>
  <c r="U20" i="92"/>
  <c r="U19" i="92"/>
  <c r="U18" i="92"/>
  <c r="U17" i="92"/>
  <c r="U16" i="92"/>
  <c r="U15" i="92"/>
  <c r="U14" i="92"/>
  <c r="U13" i="92"/>
  <c r="U12" i="92"/>
  <c r="U11" i="92"/>
  <c r="U10" i="92"/>
  <c r="U9" i="92"/>
  <c r="U8" i="92"/>
  <c r="U7" i="92"/>
  <c r="U6" i="92"/>
  <c r="U5" i="92"/>
  <c r="U25" i="101" l="1"/>
  <c r="F26" i="101"/>
  <c r="G26" i="101" s="1"/>
  <c r="H26" i="101" s="1"/>
  <c r="I26" i="101" s="1"/>
  <c r="J26" i="101" s="1"/>
  <c r="K26" i="101" s="1"/>
  <c r="L26" i="101" s="1"/>
  <c r="M26" i="101" s="1"/>
  <c r="N26" i="101" s="1"/>
  <c r="O26" i="101" s="1"/>
  <c r="P26" i="101" s="1"/>
  <c r="Q26" i="101" s="1"/>
  <c r="R26" i="101" s="1"/>
  <c r="S26" i="101" s="1"/>
  <c r="T26" i="101" s="1"/>
  <c r="F26" i="92"/>
  <c r="G26" i="92" s="1"/>
  <c r="H26" i="92" s="1"/>
  <c r="I26" i="92" s="1"/>
  <c r="J26" i="92" s="1"/>
  <c r="K26" i="92" s="1"/>
  <c r="L26" i="92" s="1"/>
  <c r="M26" i="92" s="1"/>
  <c r="N26" i="92" s="1"/>
  <c r="O26" i="92" s="1"/>
  <c r="P26" i="92" s="1"/>
  <c r="Q26" i="92" s="1"/>
  <c r="R26" i="92" s="1"/>
  <c r="S26" i="92" s="1"/>
  <c r="T26" i="92" s="1"/>
  <c r="U25" i="92"/>
  <c r="H26" i="91"/>
  <c r="F26" i="91"/>
  <c r="E26" i="91"/>
  <c r="D26" i="91"/>
  <c r="K25" i="91"/>
  <c r="J25" i="91"/>
  <c r="K24" i="91"/>
  <c r="J24" i="91"/>
  <c r="L24" i="91" s="1"/>
  <c r="K23" i="91"/>
  <c r="J23" i="91"/>
  <c r="L23" i="91" s="1"/>
  <c r="K22" i="91"/>
  <c r="J22" i="91"/>
  <c r="K17" i="91"/>
  <c r="G26" i="91"/>
  <c r="D16" i="91"/>
  <c r="K15" i="91"/>
  <c r="J15" i="91"/>
  <c r="I15" i="91"/>
  <c r="K14" i="91"/>
  <c r="J14" i="91"/>
  <c r="I14" i="91"/>
  <c r="K13" i="91"/>
  <c r="J13" i="91"/>
  <c r="L13" i="91" s="1"/>
  <c r="I13" i="91"/>
  <c r="K12" i="91"/>
  <c r="J12" i="91"/>
  <c r="K11" i="91"/>
  <c r="J11" i="91"/>
  <c r="J10" i="91"/>
  <c r="H10" i="91"/>
  <c r="K10" i="91" s="1"/>
  <c r="J9" i="91"/>
  <c r="H9" i="91"/>
  <c r="I9" i="91" s="1"/>
  <c r="J8" i="91"/>
  <c r="H8" i="91"/>
  <c r="K8" i="91" s="1"/>
  <c r="L8" i="91" s="1"/>
  <c r="J7" i="91"/>
  <c r="H7" i="91"/>
  <c r="K7" i="91" s="1"/>
  <c r="L7" i="91" s="1"/>
  <c r="J6" i="91"/>
  <c r="H6" i="91"/>
  <c r="I6" i="91" s="1"/>
  <c r="E6" i="91"/>
  <c r="K6" i="91" s="1"/>
  <c r="J5" i="91"/>
  <c r="H5" i="91"/>
  <c r="I5" i="91" s="1"/>
  <c r="E5" i="91"/>
  <c r="G46" i="91"/>
  <c r="D46" i="91"/>
  <c r="J42" i="91"/>
  <c r="H42" i="91"/>
  <c r="K42" i="91" s="1"/>
  <c r="J41" i="91"/>
  <c r="H41" i="91"/>
  <c r="K41" i="91" s="1"/>
  <c r="J40" i="91"/>
  <c r="H40" i="91"/>
  <c r="K40" i="91" s="1"/>
  <c r="J39" i="91"/>
  <c r="H39" i="91"/>
  <c r="I39" i="91" s="1"/>
  <c r="J38" i="91"/>
  <c r="H38" i="91"/>
  <c r="I38" i="91" s="1"/>
  <c r="J37" i="91"/>
  <c r="H37" i="91"/>
  <c r="E37" i="91"/>
  <c r="G57" i="91"/>
  <c r="D57" i="91"/>
  <c r="J56" i="91"/>
  <c r="H56" i="91"/>
  <c r="I56" i="91" s="1"/>
  <c r="K55" i="91"/>
  <c r="J55" i="91"/>
  <c r="J54" i="91"/>
  <c r="E54" i="91"/>
  <c r="F54" i="91" s="1"/>
  <c r="J53" i="91"/>
  <c r="H53" i="91"/>
  <c r="I53" i="91" s="1"/>
  <c r="E53" i="91"/>
  <c r="J52" i="91"/>
  <c r="H52" i="91"/>
  <c r="I52" i="91" s="1"/>
  <c r="E52" i="91"/>
  <c r="F52" i="91" s="1"/>
  <c r="J51" i="91"/>
  <c r="H51" i="91"/>
  <c r="E51" i="91"/>
  <c r="F51" i="91" s="1"/>
  <c r="J50" i="91"/>
  <c r="H50" i="91"/>
  <c r="I50" i="91" s="1"/>
  <c r="E50" i="91"/>
  <c r="J49" i="91"/>
  <c r="H49" i="91"/>
  <c r="I49" i="91" s="1"/>
  <c r="E49" i="91"/>
  <c r="F49" i="91" s="1"/>
  <c r="J48" i="91"/>
  <c r="H48" i="91"/>
  <c r="K48" i="91" s="1"/>
  <c r="L48" i="91" s="1"/>
  <c r="J47" i="91"/>
  <c r="H47" i="91"/>
  <c r="E47" i="91"/>
  <c r="K50" i="91" l="1"/>
  <c r="L41" i="91"/>
  <c r="L40" i="91"/>
  <c r="L25" i="91"/>
  <c r="L14" i="91"/>
  <c r="L55" i="91"/>
  <c r="L10" i="91"/>
  <c r="K54" i="91"/>
  <c r="K49" i="91"/>
  <c r="L49" i="91" s="1"/>
  <c r="L12" i="91"/>
  <c r="L15" i="91"/>
  <c r="K37" i="91"/>
  <c r="G16" i="91"/>
  <c r="K38" i="91"/>
  <c r="L38" i="91" s="1"/>
  <c r="L54" i="91"/>
  <c r="L11" i="91"/>
  <c r="K51" i="91"/>
  <c r="L51" i="91" s="1"/>
  <c r="H57" i="91"/>
  <c r="K56" i="91"/>
  <c r="L56" i="91" s="1"/>
  <c r="E16" i="91"/>
  <c r="K26" i="91"/>
  <c r="E57" i="91"/>
  <c r="K53" i="91"/>
  <c r="L53" i="91" s="1"/>
  <c r="H46" i="91"/>
  <c r="J46" i="91"/>
  <c r="J57" i="91"/>
  <c r="L22" i="91"/>
  <c r="L50" i="91"/>
  <c r="H16" i="91"/>
  <c r="L6" i="91"/>
  <c r="L42" i="91"/>
  <c r="L37" i="91"/>
  <c r="I47" i="91"/>
  <c r="K9" i="91"/>
  <c r="L9" i="91" s="1"/>
  <c r="F47" i="91"/>
  <c r="I42" i="91"/>
  <c r="F5" i="91"/>
  <c r="K52" i="91"/>
  <c r="L52" i="91" s="1"/>
  <c r="F37" i="91"/>
  <c r="F46" i="91" s="1"/>
  <c r="K5" i="91"/>
  <c r="I10" i="91"/>
  <c r="I17" i="91"/>
  <c r="I26" i="91" s="1"/>
  <c r="K47" i="91"/>
  <c r="K39" i="91"/>
  <c r="L39" i="91" s="1"/>
  <c r="I7" i="91"/>
  <c r="J17" i="91"/>
  <c r="I16" i="91"/>
  <c r="F50" i="91"/>
  <c r="I40" i="91"/>
  <c r="I48" i="91"/>
  <c r="F53" i="91"/>
  <c r="I37" i="91"/>
  <c r="E46" i="91"/>
  <c r="F6" i="91"/>
  <c r="I51" i="91"/>
  <c r="I41" i="91"/>
  <c r="I8" i="91"/>
  <c r="K16" i="91" l="1"/>
  <c r="I57" i="91"/>
  <c r="K46" i="91"/>
  <c r="K57" i="91"/>
  <c r="J16" i="91"/>
  <c r="J26" i="91"/>
  <c r="L17" i="91"/>
  <c r="L26" i="91" s="1"/>
  <c r="L46" i="91"/>
  <c r="F16" i="91"/>
  <c r="L47" i="91"/>
  <c r="L57" i="91" s="1"/>
  <c r="I46" i="91"/>
  <c r="L5" i="91"/>
  <c r="L16" i="91" s="1"/>
  <c r="F57" i="91"/>
  <c r="AC16" i="28" l="1"/>
  <c r="BC31" i="28" l="1"/>
  <c r="X31" i="28" l="1"/>
  <c r="AC31" i="28" s="1"/>
  <c r="U11" i="51" l="1"/>
  <c r="U7" i="51"/>
  <c r="T13" i="51" l="1"/>
  <c r="AJ4" i="28" l="1"/>
  <c r="X25" i="28"/>
  <c r="X24" i="28"/>
  <c r="X20" i="28"/>
  <c r="AC20" i="28" s="1"/>
  <c r="C32" i="88"/>
  <c r="AW19" i="28"/>
  <c r="BC19" i="28" s="1"/>
  <c r="AQ34" i="28"/>
  <c r="BC32" i="28"/>
  <c r="N22" i="28"/>
  <c r="A2" i="17"/>
  <c r="A4" i="88"/>
  <c r="BC26" i="28"/>
  <c r="BC24" i="28"/>
  <c r="BC25" i="28"/>
  <c r="BC27" i="28"/>
  <c r="BC23" i="28"/>
  <c r="X14" i="28"/>
  <c r="AC14" i="28" s="1"/>
  <c r="A3" i="17"/>
  <c r="S7" i="17"/>
  <c r="U7" i="17" s="1"/>
  <c r="S9" i="17"/>
  <c r="U9" i="17" s="1"/>
  <c r="V10" i="17"/>
  <c r="S11" i="17"/>
  <c r="U11" i="17" s="1"/>
  <c r="S13" i="17"/>
  <c r="U13" i="17" s="1"/>
  <c r="S15" i="17"/>
  <c r="U15" i="17" s="1"/>
  <c r="S17" i="17"/>
  <c r="U17" i="17" s="1"/>
  <c r="S19" i="17"/>
  <c r="U19" i="17" s="1"/>
  <c r="V20" i="17"/>
  <c r="S21" i="17"/>
  <c r="U21" i="17" s="1"/>
  <c r="V22" i="17"/>
  <c r="S23" i="17"/>
  <c r="U23" i="17" s="1"/>
  <c r="S25" i="17"/>
  <c r="U25" i="17" s="1"/>
  <c r="S27" i="17"/>
  <c r="U27" i="17" s="1"/>
  <c r="S29" i="17"/>
  <c r="U29" i="17" s="1"/>
  <c r="S31" i="17"/>
  <c r="U31" i="17" s="1"/>
  <c r="S33" i="17"/>
  <c r="U33" i="17" s="1"/>
  <c r="S35" i="17"/>
  <c r="U35" i="17" s="1"/>
  <c r="S37" i="17"/>
  <c r="U37" i="17"/>
  <c r="S39" i="17"/>
  <c r="U39" i="17" s="1"/>
  <c r="S41" i="17"/>
  <c r="U41" i="17" s="1"/>
  <c r="S43" i="17"/>
  <c r="U43" i="17" s="1"/>
  <c r="S47" i="17"/>
  <c r="T47" i="17"/>
  <c r="S49" i="17"/>
  <c r="T49" i="17"/>
  <c r="S51" i="17"/>
  <c r="U51" i="17" s="1"/>
  <c r="S53" i="17"/>
  <c r="U53" i="17" s="1"/>
  <c r="S55" i="17"/>
  <c r="U55" i="17" s="1"/>
  <c r="S57" i="17"/>
  <c r="U57" i="17" s="1"/>
  <c r="S59" i="17"/>
  <c r="U59" i="17" s="1"/>
  <c r="S61" i="17"/>
  <c r="U61" i="17" s="1"/>
  <c r="S63" i="17"/>
  <c r="S65" i="17"/>
  <c r="S67" i="17"/>
  <c r="U67" i="17" s="1"/>
  <c r="A69" i="17"/>
  <c r="A71" i="17" s="1"/>
  <c r="A73" i="17" s="1"/>
  <c r="S69" i="17"/>
  <c r="U69" i="17"/>
  <c r="S71" i="17"/>
  <c r="U71" i="17" s="1"/>
  <c r="S73" i="17"/>
  <c r="U73" i="17"/>
  <c r="S75" i="17"/>
  <c r="U75" i="17"/>
  <c r="S77" i="17"/>
  <c r="U77" i="17"/>
  <c r="S79" i="17"/>
  <c r="U79" i="17"/>
  <c r="S81" i="17"/>
  <c r="U81" i="17"/>
  <c r="A83" i="17"/>
  <c r="S83" i="17"/>
  <c r="U83" i="17" s="1"/>
  <c r="S85" i="17"/>
  <c r="U85" i="17"/>
  <c r="A87" i="17"/>
  <c r="S87" i="17"/>
  <c r="U87" i="17" s="1"/>
  <c r="S89" i="17"/>
  <c r="U89" i="17" s="1"/>
  <c r="A91" i="17"/>
  <c r="A93" i="17" s="1"/>
  <c r="A95" i="17" s="1"/>
  <c r="A97" i="17" s="1"/>
  <c r="A99" i="17" s="1"/>
  <c r="S91" i="17"/>
  <c r="U91" i="17" s="1"/>
  <c r="S93" i="17"/>
  <c r="U93" i="17" s="1"/>
  <c r="S95" i="17"/>
  <c r="U95" i="17"/>
  <c r="S97" i="17"/>
  <c r="U97" i="17" s="1"/>
  <c r="S99" i="17"/>
  <c r="U99" i="17" s="1"/>
  <c r="S101" i="17"/>
  <c r="U101" i="17" s="1"/>
  <c r="S103" i="17"/>
  <c r="U103" i="17" s="1"/>
  <c r="A105" i="17"/>
  <c r="A107" i="17" s="1"/>
  <c r="A109" i="17" s="1"/>
  <c r="S105" i="17"/>
  <c r="U105" i="17" s="1"/>
  <c r="S107" i="17"/>
  <c r="U107" i="17" s="1"/>
  <c r="S109" i="17"/>
  <c r="U109" i="17" s="1"/>
  <c r="S111" i="17"/>
  <c r="U111" i="17" s="1"/>
  <c r="S113" i="17"/>
  <c r="U113" i="17" s="1"/>
  <c r="S115" i="17"/>
  <c r="U115" i="17" s="1"/>
  <c r="S117" i="17"/>
  <c r="U117" i="17" s="1"/>
  <c r="S119" i="17"/>
  <c r="S121" i="17"/>
  <c r="U121" i="17" s="1"/>
  <c r="S123" i="17"/>
  <c r="U123" i="17" s="1"/>
  <c r="V124" i="17"/>
  <c r="S125" i="17"/>
  <c r="U125" i="17" s="1"/>
  <c r="S127" i="17"/>
  <c r="U127" i="17" s="1"/>
  <c r="S129" i="17"/>
  <c r="U129" i="17" s="1"/>
  <c r="S131" i="17"/>
  <c r="U131" i="17" s="1"/>
  <c r="V132" i="17"/>
  <c r="S133" i="17"/>
  <c r="U133" i="17" s="1"/>
  <c r="S135" i="17"/>
  <c r="T135" i="17"/>
  <c r="S137" i="17"/>
  <c r="U137" i="17" s="1"/>
  <c r="S139" i="17"/>
  <c r="U139" i="17" s="1"/>
  <c r="S141" i="17"/>
  <c r="T141" i="17"/>
  <c r="S143" i="17"/>
  <c r="U143" i="17" s="1"/>
  <c r="A145" i="17"/>
  <c r="A147" i="17" s="1"/>
  <c r="A149" i="17" s="1"/>
  <c r="A151" i="17" s="1"/>
  <c r="A153" i="17" s="1"/>
  <c r="A183" i="17" s="1"/>
  <c r="A185" i="17" s="1"/>
  <c r="A187" i="17" s="1"/>
  <c r="A189" i="17" s="1"/>
  <c r="S145" i="17"/>
  <c r="U145" i="17" s="1"/>
  <c r="S147" i="17"/>
  <c r="U147" i="17" s="1"/>
  <c r="S149" i="17"/>
  <c r="U149" i="17" s="1"/>
  <c r="S151" i="17"/>
  <c r="U151" i="17" s="1"/>
  <c r="S153" i="17"/>
  <c r="U153" i="17" s="1"/>
  <c r="S155" i="17"/>
  <c r="U155" i="17" s="1"/>
  <c r="S157" i="17"/>
  <c r="U157" i="17" s="1"/>
  <c r="A159" i="17"/>
  <c r="S159" i="17"/>
  <c r="U159" i="17" s="1"/>
  <c r="S161" i="17"/>
  <c r="U161" i="17" s="1"/>
  <c r="A163" i="17"/>
  <c r="A165" i="17" s="1"/>
  <c r="A167" i="17" s="1"/>
  <c r="A169" i="17" s="1"/>
  <c r="A171" i="17" s="1"/>
  <c r="S163" i="17"/>
  <c r="U163" i="17" s="1"/>
  <c r="S165" i="17"/>
  <c r="U165" i="17" s="1"/>
  <c r="S167" i="17"/>
  <c r="U167" i="17" s="1"/>
  <c r="S169" i="17"/>
  <c r="U169" i="17" s="1"/>
  <c r="S171" i="17"/>
  <c r="U171" i="17" s="1"/>
  <c r="S173" i="17"/>
  <c r="U173" i="17" s="1"/>
  <c r="S175" i="17"/>
  <c r="U175" i="17" s="1"/>
  <c r="A177" i="17"/>
  <c r="A179" i="17" s="1"/>
  <c r="A181" i="17" s="1"/>
  <c r="S177" i="17"/>
  <c r="U177" i="17" s="1"/>
  <c r="S179" i="17"/>
  <c r="U179" i="17" s="1"/>
  <c r="S181" i="17"/>
  <c r="U181" i="17" s="1"/>
  <c r="S183" i="17"/>
  <c r="U183" i="17" s="1"/>
  <c r="S185" i="17"/>
  <c r="U185" i="17" s="1"/>
  <c r="S187" i="17"/>
  <c r="U187" i="17" s="1"/>
  <c r="S189" i="17"/>
  <c r="U189" i="17" s="1"/>
  <c r="S191" i="17"/>
  <c r="S193" i="17"/>
  <c r="U193" i="17" s="1"/>
  <c r="S195" i="17"/>
  <c r="U195" i="17" s="1"/>
  <c r="S197" i="17"/>
  <c r="U197" i="17" s="1"/>
  <c r="S199" i="17"/>
  <c r="U199" i="17" s="1"/>
  <c r="S201" i="17"/>
  <c r="V202" i="17"/>
  <c r="S203" i="17"/>
  <c r="U203" i="17" s="1"/>
  <c r="S205" i="17"/>
  <c r="U205" i="17" s="1"/>
  <c r="S207" i="17"/>
  <c r="U207" i="17" s="1"/>
  <c r="S209" i="17"/>
  <c r="U209" i="17" s="1"/>
  <c r="S211" i="17"/>
  <c r="U211" i="17" s="1"/>
  <c r="S213" i="17"/>
  <c r="U213" i="17"/>
  <c r="S215" i="17"/>
  <c r="U215" i="17"/>
  <c r="S217" i="17"/>
  <c r="U217" i="17" s="1"/>
  <c r="S219" i="17"/>
  <c r="U219" i="17" s="1"/>
  <c r="S223" i="17"/>
  <c r="U223" i="17" s="1"/>
  <c r="S225" i="17"/>
  <c r="T225" i="17"/>
  <c r="U225" i="17"/>
  <c r="V226" i="17"/>
  <c r="S227" i="17"/>
  <c r="T227" i="17"/>
  <c r="S229" i="17"/>
  <c r="T229" i="17"/>
  <c r="S231" i="17"/>
  <c r="T231" i="17"/>
  <c r="S233" i="17"/>
  <c r="T233" i="17"/>
  <c r="S235" i="17"/>
  <c r="T235" i="17"/>
  <c r="S237" i="17"/>
  <c r="U237" i="17" s="1"/>
  <c r="T237" i="17"/>
  <c r="V238" i="17"/>
  <c r="S241" i="17"/>
  <c r="U241" i="17" s="1"/>
  <c r="S243" i="17"/>
  <c r="U243" i="17" s="1"/>
  <c r="A3" i="51"/>
  <c r="A2" i="45"/>
  <c r="F2" i="45"/>
  <c r="B5" i="45"/>
  <c r="C5" i="45"/>
  <c r="B6" i="45"/>
  <c r="C6" i="45"/>
  <c r="E6" i="45"/>
  <c r="E19" i="45" s="1"/>
  <c r="F6" i="45"/>
  <c r="F19" i="45" s="1"/>
  <c r="B7" i="45"/>
  <c r="C7" i="45"/>
  <c r="E7" i="45"/>
  <c r="F7" i="45"/>
  <c r="B8" i="45"/>
  <c r="C8" i="45"/>
  <c r="E8" i="45"/>
  <c r="F8" i="45"/>
  <c r="G8" i="45" s="1"/>
  <c r="I8" i="45" s="1"/>
  <c r="B9" i="45"/>
  <c r="C9" i="45"/>
  <c r="E9" i="45"/>
  <c r="F9" i="45"/>
  <c r="B10" i="45"/>
  <c r="C10" i="45"/>
  <c r="E10" i="45"/>
  <c r="F10" i="45"/>
  <c r="E11" i="45"/>
  <c r="F11" i="45"/>
  <c r="E12" i="45"/>
  <c r="F12" i="45"/>
  <c r="E13" i="45"/>
  <c r="F13" i="45"/>
  <c r="B14" i="45"/>
  <c r="E14" i="45"/>
  <c r="F14" i="45"/>
  <c r="B15" i="45"/>
  <c r="F15" i="45"/>
  <c r="G15" i="45" s="1"/>
  <c r="I15" i="45" s="1"/>
  <c r="F16" i="45"/>
  <c r="G16" i="45" s="1"/>
  <c r="I16" i="45" s="1"/>
  <c r="B17" i="45"/>
  <c r="C17" i="45"/>
  <c r="E17" i="45"/>
  <c r="F17" i="45"/>
  <c r="H19" i="45"/>
  <c r="E28" i="45"/>
  <c r="F28" i="45"/>
  <c r="G28" i="45"/>
  <c r="H28" i="45"/>
  <c r="I28" i="45"/>
  <c r="J28" i="45"/>
  <c r="E43" i="45"/>
  <c r="F43" i="45"/>
  <c r="G43" i="45"/>
  <c r="H43" i="45"/>
  <c r="I43" i="45"/>
  <c r="B44" i="45"/>
  <c r="C44" i="45"/>
  <c r="E44" i="45"/>
  <c r="F44" i="45"/>
  <c r="F58" i="45" s="1"/>
  <c r="B45" i="45"/>
  <c r="C45" i="45"/>
  <c r="E45" i="45"/>
  <c r="G45" i="45" s="1"/>
  <c r="I45" i="45" s="1"/>
  <c r="F45" i="45"/>
  <c r="B46" i="45"/>
  <c r="C46" i="45"/>
  <c r="E46" i="45"/>
  <c r="G46" i="45" s="1"/>
  <c r="I46" i="45" s="1"/>
  <c r="F46" i="45"/>
  <c r="B47" i="45"/>
  <c r="C47" i="45"/>
  <c r="E47" i="45"/>
  <c r="G47" i="45" s="1"/>
  <c r="I47" i="45" s="1"/>
  <c r="F47" i="45"/>
  <c r="B48" i="45"/>
  <c r="C48" i="45"/>
  <c r="E48" i="45"/>
  <c r="G48" i="45" s="1"/>
  <c r="I48" i="45" s="1"/>
  <c r="F48" i="45"/>
  <c r="B49" i="45"/>
  <c r="C49" i="45"/>
  <c r="E49" i="45"/>
  <c r="G49" i="45" s="1"/>
  <c r="I49" i="45" s="1"/>
  <c r="F49" i="45"/>
  <c r="B50" i="45"/>
  <c r="C50" i="45"/>
  <c r="E50" i="45"/>
  <c r="G50" i="45" s="1"/>
  <c r="I50" i="45" s="1"/>
  <c r="F50" i="45"/>
  <c r="B51" i="45"/>
  <c r="C51" i="45"/>
  <c r="E51" i="45"/>
  <c r="G51" i="45" s="1"/>
  <c r="I51" i="45" s="1"/>
  <c r="F51" i="45"/>
  <c r="B52" i="45"/>
  <c r="C52" i="45"/>
  <c r="E52" i="45"/>
  <c r="G52" i="45" s="1"/>
  <c r="I52" i="45" s="1"/>
  <c r="F52" i="45"/>
  <c r="B53" i="45"/>
  <c r="C53" i="45"/>
  <c r="E53" i="45"/>
  <c r="G53" i="45" s="1"/>
  <c r="I53" i="45" s="1"/>
  <c r="F53" i="45"/>
  <c r="H58" i="45"/>
  <c r="J58" i="45"/>
  <c r="B59" i="45"/>
  <c r="C59" i="45"/>
  <c r="E59" i="45"/>
  <c r="H65" i="45"/>
  <c r="I65" i="45"/>
  <c r="E68" i="45"/>
  <c r="E69" i="45"/>
  <c r="F68" i="45"/>
  <c r="F69" i="45" s="1"/>
  <c r="H70" i="45"/>
  <c r="C71" i="45"/>
  <c r="E71" i="45"/>
  <c r="C72" i="45"/>
  <c r="E72" i="45"/>
  <c r="F72" i="45"/>
  <c r="G72" i="45" s="1"/>
  <c r="I72" i="45" s="1"/>
  <c r="C73" i="45"/>
  <c r="E73" i="45"/>
  <c r="F73" i="45"/>
  <c r="C74" i="45"/>
  <c r="E74" i="45"/>
  <c r="F74" i="45"/>
  <c r="H75" i="45"/>
  <c r="J75" i="45"/>
  <c r="F15" i="27"/>
  <c r="F14" i="27" s="1"/>
  <c r="J19" i="27"/>
  <c r="J18" i="27" s="1"/>
  <c r="M22" i="27"/>
  <c r="E25" i="27"/>
  <c r="G25" i="27"/>
  <c r="H25" i="27"/>
  <c r="I25" i="27"/>
  <c r="H26" i="27"/>
  <c r="I26" i="27" s="1"/>
  <c r="K26" i="27"/>
  <c r="H27" i="27"/>
  <c r="I27" i="27" s="1"/>
  <c r="J27" i="27" s="1"/>
  <c r="K27" i="27"/>
  <c r="G28" i="27"/>
  <c r="I28" i="27" s="1"/>
  <c r="M28" i="27" s="1"/>
  <c r="K28" i="27"/>
  <c r="I29" i="27"/>
  <c r="K29" i="27"/>
  <c r="I30" i="27"/>
  <c r="M30" i="27" s="1"/>
  <c r="K30" i="27"/>
  <c r="I31" i="27"/>
  <c r="K31" i="27"/>
  <c r="H32" i="27"/>
  <c r="I32" i="27" s="1"/>
  <c r="M32" i="27" s="1"/>
  <c r="K32" i="27"/>
  <c r="I33" i="27"/>
  <c r="K33" i="27"/>
  <c r="I34" i="27"/>
  <c r="M34" i="27" s="1"/>
  <c r="K34" i="27"/>
  <c r="H35" i="27"/>
  <c r="I35" i="27" s="1"/>
  <c r="K35" i="27"/>
  <c r="H36" i="27"/>
  <c r="I36" i="27" s="1"/>
  <c r="K36" i="27"/>
  <c r="H37" i="27"/>
  <c r="I37" i="27" s="1"/>
  <c r="K37" i="27"/>
  <c r="M39" i="27"/>
  <c r="I40" i="27"/>
  <c r="J40" i="27" s="1"/>
  <c r="K40" i="27"/>
  <c r="I41" i="27"/>
  <c r="J42" i="27"/>
  <c r="M42" i="27"/>
  <c r="I43" i="27"/>
  <c r="J43" i="27" s="1"/>
  <c r="I44" i="27"/>
  <c r="J44" i="27" s="1"/>
  <c r="K44" i="27"/>
  <c r="J45" i="27"/>
  <c r="M45" i="27"/>
  <c r="I47" i="27"/>
  <c r="J48" i="27"/>
  <c r="K48" i="27"/>
  <c r="J49" i="27"/>
  <c r="K49" i="27"/>
  <c r="J50" i="27"/>
  <c r="K50" i="27"/>
  <c r="D51" i="27"/>
  <c r="D52" i="27" s="1"/>
  <c r="M52" i="27"/>
  <c r="E59" i="27"/>
  <c r="X15" i="28"/>
  <c r="AC15" i="28" s="1"/>
  <c r="BC22" i="28"/>
  <c r="AQ29" i="28"/>
  <c r="AW29" i="28"/>
  <c r="AW34" i="28"/>
  <c r="G68" i="45"/>
  <c r="H68" i="45" s="1"/>
  <c r="H69" i="45" s="1"/>
  <c r="G6" i="45"/>
  <c r="I6" i="45" s="1"/>
  <c r="I19" i="45" s="1"/>
  <c r="U229" i="17"/>
  <c r="M40" i="27"/>
  <c r="G46" i="27"/>
  <c r="G10" i="45"/>
  <c r="I10" i="45" s="1"/>
  <c r="U233" i="17"/>
  <c r="AC24" i="28" l="1"/>
  <c r="X28" i="28"/>
  <c r="G12" i="45"/>
  <c r="I12" i="45" s="1"/>
  <c r="G19" i="45"/>
  <c r="G7" i="45"/>
  <c r="I7" i="45" s="1"/>
  <c r="U235" i="17"/>
  <c r="G69" i="45"/>
  <c r="G17" i="45"/>
  <c r="I17" i="45" s="1"/>
  <c r="H76" i="45"/>
  <c r="U47" i="17"/>
  <c r="U63" i="17" s="1"/>
  <c r="J34" i="27"/>
  <c r="G9" i="45"/>
  <c r="I9" i="45" s="1"/>
  <c r="U135" i="17"/>
  <c r="M44" i="27"/>
  <c r="G73" i="45"/>
  <c r="I73" i="45" s="1"/>
  <c r="G74" i="45"/>
  <c r="I74" i="45" s="1"/>
  <c r="U227" i="17"/>
  <c r="U119" i="17"/>
  <c r="M27" i="27"/>
  <c r="J32" i="27"/>
  <c r="J30" i="27"/>
  <c r="G11" i="45"/>
  <c r="I11" i="45" s="1"/>
  <c r="U231" i="17"/>
  <c r="M43" i="27"/>
  <c r="G13" i="45"/>
  <c r="I13" i="45" s="1"/>
  <c r="U191" i="17"/>
  <c r="U49" i="17"/>
  <c r="F38" i="27"/>
  <c r="J38" i="27" s="1"/>
  <c r="F11" i="27"/>
  <c r="F10" i="27" s="1"/>
  <c r="U5" i="51"/>
  <c r="I13" i="51"/>
  <c r="R13" i="51"/>
  <c r="J13" i="51"/>
  <c r="AQ35" i="28"/>
  <c r="X21" i="28"/>
  <c r="AC21" i="28" s="1"/>
  <c r="M13" i="51"/>
  <c r="AW35" i="28"/>
  <c r="N13" i="51"/>
  <c r="BC29" i="28"/>
  <c r="BC34" i="28"/>
  <c r="L13" i="51"/>
  <c r="X29" i="28"/>
  <c r="M36" i="27"/>
  <c r="J36" i="27"/>
  <c r="M33" i="27"/>
  <c r="J33" i="27"/>
  <c r="E75" i="45"/>
  <c r="F71" i="45"/>
  <c r="F75" i="45" s="1"/>
  <c r="J37" i="27"/>
  <c r="M37" i="27"/>
  <c r="S45" i="17"/>
  <c r="U221" i="17"/>
  <c r="F22" i="27"/>
  <c r="G44" i="45"/>
  <c r="E58" i="45"/>
  <c r="H13" i="51"/>
  <c r="U239" i="17"/>
  <c r="U45" i="17"/>
  <c r="A75" i="17"/>
  <c r="A79" i="17" s="1"/>
  <c r="A111" i="17" s="1"/>
  <c r="A113" i="17" s="1"/>
  <c r="A115" i="17" s="1"/>
  <c r="A117" i="17" s="1"/>
  <c r="A77" i="17"/>
  <c r="M35" i="27"/>
  <c r="J35" i="27"/>
  <c r="M26" i="27"/>
  <c r="I46" i="27"/>
  <c r="J29" i="27"/>
  <c r="M29" i="27"/>
  <c r="G14" i="45"/>
  <c r="I14" i="45" s="1"/>
  <c r="H46" i="27"/>
  <c r="D13" i="51"/>
  <c r="D14" i="51" s="1"/>
  <c r="U201" i="17"/>
  <c r="E66" i="45"/>
  <c r="F59" i="45"/>
  <c r="J28" i="27"/>
  <c r="G51" i="27"/>
  <c r="U141" i="17"/>
  <c r="M41" i="27"/>
  <c r="J41" i="27"/>
  <c r="J31" i="27"/>
  <c r="M31" i="27"/>
  <c r="U12" i="51"/>
  <c r="U65" i="17"/>
  <c r="P13" i="51"/>
  <c r="AC29" i="28" l="1"/>
  <c r="E21" i="104"/>
  <c r="BM13" i="28"/>
  <c r="U9" i="51"/>
  <c r="K11" i="27"/>
  <c r="J11" i="27"/>
  <c r="K13" i="51"/>
  <c r="M38" i="27"/>
  <c r="K38" i="27"/>
  <c r="K46" i="27" s="1"/>
  <c r="F46" i="27"/>
  <c r="M46" i="27" s="1"/>
  <c r="F13" i="51"/>
  <c r="U8" i="51"/>
  <c r="U6" i="51"/>
  <c r="F13" i="27"/>
  <c r="G13" i="51"/>
  <c r="O13" i="51"/>
  <c r="S13" i="51"/>
  <c r="J10" i="27"/>
  <c r="M10" i="27" s="1"/>
  <c r="K10" i="27"/>
  <c r="Q13" i="51"/>
  <c r="BC35" i="28"/>
  <c r="H33" i="28"/>
  <c r="I44" i="45"/>
  <c r="I58" i="45" s="1"/>
  <c r="G58" i="45"/>
  <c r="G71" i="45"/>
  <c r="G59" i="45"/>
  <c r="I59" i="45" s="1"/>
  <c r="I66" i="45" s="1"/>
  <c r="I70" i="45" s="1"/>
  <c r="F66" i="45"/>
  <c r="F70" i="45" s="1"/>
  <c r="F76" i="45" s="1"/>
  <c r="E70" i="45"/>
  <c r="E76" i="45" s="1"/>
  <c r="J46" i="27"/>
  <c r="U245" i="17"/>
  <c r="F19" i="27"/>
  <c r="E13" i="51"/>
  <c r="E14" i="51" s="1"/>
  <c r="X13" i="28"/>
  <c r="AC13" i="28" s="1"/>
  <c r="F47" i="27"/>
  <c r="F21" i="104" l="1"/>
  <c r="E22" i="104"/>
  <c r="F14" i="51"/>
  <c r="G14" i="51" s="1"/>
  <c r="H14" i="51" s="1"/>
  <c r="I14" i="51" s="1"/>
  <c r="J14" i="51" s="1"/>
  <c r="K14" i="51" s="1"/>
  <c r="L14" i="51" s="1"/>
  <c r="M14" i="51" s="1"/>
  <c r="N14" i="51" s="1"/>
  <c r="O14" i="51" s="1"/>
  <c r="P14" i="51" s="1"/>
  <c r="Q14" i="51" s="1"/>
  <c r="R14" i="51" s="1"/>
  <c r="S14" i="51" s="1"/>
  <c r="T14" i="51" s="1"/>
  <c r="G66" i="45"/>
  <c r="G70" i="45" s="1"/>
  <c r="U10" i="51"/>
  <c r="U13" i="51"/>
  <c r="F12" i="27"/>
  <c r="K13" i="27"/>
  <c r="J13" i="27"/>
  <c r="J47" i="27"/>
  <c r="K47" i="27"/>
  <c r="K19" i="27"/>
  <c r="F18" i="27"/>
  <c r="G75" i="45"/>
  <c r="G76" i="45" s="1"/>
  <c r="I71" i="45"/>
  <c r="I75" i="45" s="1"/>
  <c r="I76" i="45" s="1"/>
  <c r="H22" i="104" l="1"/>
  <c r="E24" i="104"/>
  <c r="G22" i="104"/>
  <c r="F22" i="104"/>
  <c r="F24" i="104" s="1"/>
  <c r="X17" i="28"/>
  <c r="AC17" i="28" s="1"/>
  <c r="S18" i="28"/>
  <c r="X19" i="28"/>
  <c r="AC19" i="28" s="1"/>
  <c r="S22" i="28"/>
  <c r="M12" i="27"/>
  <c r="K12" i="27"/>
  <c r="J12" i="27"/>
  <c r="J25" i="27" s="1"/>
  <c r="M51" i="27" s="1"/>
  <c r="M18" i="27"/>
  <c r="M25" i="27" s="1"/>
  <c r="K18" i="27"/>
  <c r="F25" i="27"/>
  <c r="F51" i="27" s="1"/>
  <c r="BJ13" i="28"/>
  <c r="H24" i="104" l="1"/>
  <c r="G24" i="104"/>
  <c r="BJ15" i="28"/>
  <c r="BJ14" i="28"/>
  <c r="K25" i="27"/>
  <c r="X22" i="28"/>
  <c r="AC22" i="28" s="1"/>
  <c r="S23" i="28"/>
  <c r="S30" i="28" s="1"/>
  <c r="F52" i="27"/>
  <c r="J51" i="27"/>
  <c r="K51" i="27"/>
  <c r="K52" i="27" l="1"/>
  <c r="J52" i="27"/>
  <c r="BM14" i="28"/>
  <c r="BM15" i="28"/>
  <c r="S32" i="28"/>
  <c r="BD14" i="28" l="1"/>
  <c r="O34" i="28"/>
  <c r="O35" i="28" s="1"/>
  <c r="AC28" i="28"/>
  <c r="N18" i="28"/>
  <c r="F26" i="100"/>
  <c r="G26" i="100" s="1"/>
  <c r="H26" i="100" s="1"/>
  <c r="I26" i="100" s="1"/>
  <c r="J26" i="100" s="1"/>
  <c r="K26" i="100" s="1"/>
  <c r="L26" i="100" s="1"/>
  <c r="M26" i="100" s="1"/>
  <c r="N26" i="100" s="1"/>
  <c r="O26" i="100" s="1"/>
  <c r="P26" i="100" s="1"/>
  <c r="Q26" i="100" s="1"/>
  <c r="R26" i="100" s="1"/>
  <c r="S26" i="100" s="1"/>
  <c r="T26" i="100" s="1"/>
  <c r="N23" i="28" l="1"/>
  <c r="X18" i="28"/>
  <c r="AC18" i="28" s="1"/>
  <c r="X16" i="28"/>
  <c r="X23" i="28" l="1"/>
  <c r="AC23" i="28" s="1"/>
  <c r="N30" i="28"/>
  <c r="N32" i="28" s="1"/>
  <c r="BD13" i="28" s="1"/>
  <c r="BD15" i="28" s="1"/>
  <c r="BD16" i="28"/>
  <c r="AM4" i="28"/>
  <c r="AS4" i="28" s="1"/>
  <c r="X30" i="28"/>
  <c r="BM16" i="28" l="1"/>
  <c r="AS5" i="28"/>
  <c r="AC30" i="28"/>
  <c r="X32" i="28"/>
  <c r="AC32" i="28" l="1"/>
  <c r="X33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W5" authorId="0" shapeId="0" xr:uid="{47651B6C-F700-47EE-9AE5-8AEB795FD4E7}">
      <text>
        <r>
          <rPr>
            <sz val="9"/>
            <color indexed="81"/>
            <rFont val="돋움"/>
            <family val="3"/>
            <charset val="129"/>
          </rPr>
          <t>변경계약금액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AC5" authorId="0" shapeId="0" xr:uid="{F33B73E7-1800-442D-B03E-DED04D4D315F}">
      <text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일반관리비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이윤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AM5" authorId="0" shapeId="0" xr:uid="{76550AF4-BF3F-41F1-BA50-37F4958022B7}">
      <text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: 
4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일반관리비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이윤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D20" authorId="0" shapeId="0" xr:uid="{3FF58D37-020C-40E9-AB01-9A42A6281E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인건비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퇴직금</t>
        </r>
        <r>
          <rPr>
            <sz val="9"/>
            <color indexed="81"/>
            <rFont val="Tahoma"/>
            <family val="2"/>
          </rPr>
          <t>+4</t>
        </r>
        <r>
          <rPr>
            <sz val="9"/>
            <color indexed="81"/>
            <rFont val="돋움"/>
            <family val="3"/>
            <charset val="129"/>
          </rPr>
          <t>대보험
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현장소장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인건비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</text>
    </comment>
    <comment ref="D24" authorId="0" shapeId="0" xr:uid="{56BFFD69-2632-4817-B3C5-CD2275CD153D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실행예산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하도급지급보증수수료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기계대여보증수수료
투입현황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계약보증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선금보증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하도급보증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건설기계보증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하자보증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수수료</t>
        </r>
      </text>
    </comment>
    <comment ref="B29" authorId="0" shapeId="0" xr:uid="{2DCCB2ED-8A11-49EC-BEE0-9B83E116F1E8}">
      <text>
        <r>
          <rPr>
            <sz val="9"/>
            <color indexed="81"/>
            <rFont val="돋움"/>
            <family val="3"/>
            <charset val="129"/>
          </rPr>
          <t>일반관리비
실행예산 작성 시 0원</t>
        </r>
      </text>
    </comment>
    <comment ref="S29" authorId="0" shapeId="0" xr:uid="{DFC4D086-450F-4A34-98B5-2E1511D5E6F8}">
      <text>
        <r>
          <rPr>
            <sz val="9"/>
            <color indexed="81"/>
            <rFont val="돋움"/>
            <family val="3"/>
            <charset val="129"/>
          </rPr>
          <t>일반관리비
실행예산 작성 시 0원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B31" authorId="0" shapeId="0" xr:uid="{5DD02779-FCF4-43DE-8D96-CC4F7FEA30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</t>
        </r>
        <r>
          <rPr>
            <sz val="9"/>
            <color indexed="81"/>
            <rFont val="돋움"/>
            <family val="3"/>
            <charset val="129"/>
          </rPr>
          <t>대보험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고용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산재보험
</t>
        </r>
      </text>
    </comment>
    <comment ref="H31" authorId="0" shapeId="0" xr:uid="{B3AE8811-1A57-49A1-9E93-98C5FF011A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</t>
        </r>
        <r>
          <rPr>
            <sz val="9"/>
            <color indexed="81"/>
            <rFont val="돋움"/>
            <family val="3"/>
            <charset val="129"/>
          </rPr>
          <t>대보험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고용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산재보험
</t>
        </r>
        <r>
          <rPr>
            <sz val="9"/>
            <color indexed="81"/>
            <rFont val="Tahoma"/>
            <family val="2"/>
          </rPr>
          <t>100%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S31" authorId="0" shapeId="0" xr:uid="{EDDE104B-C4CD-48AE-BA12-BD55C08FA28E}">
      <text>
        <r>
          <rPr>
            <sz val="9"/>
            <color indexed="81"/>
            <rFont val="돋움"/>
            <family val="3"/>
            <charset val="129"/>
          </rPr>
          <t>실제 투입 보험료 작성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lllllllllllllll</author>
  </authors>
  <commentList>
    <comment ref="F20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lllllllllllllll: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세액차감
</t>
        </r>
      </text>
    </comment>
  </commentList>
</comments>
</file>

<file path=xl/sharedStrings.xml><?xml version="1.0" encoding="utf-8"?>
<sst xmlns="http://schemas.openxmlformats.org/spreadsheetml/2006/main" count="763" uniqueCount="519">
  <si>
    <t>발생액</t>
  </si>
  <si>
    <t>계  </t>
  </si>
  <si>
    <t>계</t>
  </si>
  <si>
    <t>비 고</t>
    <phoneticPr fontId="8" type="noConversion"/>
  </si>
  <si>
    <t>합  계</t>
    <phoneticPr fontId="8" type="noConversion"/>
  </si>
  <si>
    <t>담  당</t>
    <phoneticPr fontId="5" type="noConversion"/>
  </si>
  <si>
    <t>현
장</t>
    <phoneticPr fontId="5" type="noConversion"/>
  </si>
  <si>
    <t>본
사</t>
    <phoneticPr fontId="5" type="noConversion"/>
  </si>
  <si>
    <t>품 명 / 규 격</t>
  </si>
  <si>
    <t>거래업체</t>
  </si>
  <si>
    <t>반입상황</t>
  </si>
  <si>
    <t>반입량</t>
  </si>
  <si>
    <t>담  당</t>
    <phoneticPr fontId="8" type="noConversion"/>
  </si>
  <si>
    <t>대  리</t>
    <phoneticPr fontId="5" type="noConversion"/>
  </si>
  <si>
    <t>대  리</t>
    <phoneticPr fontId="8" type="noConversion"/>
  </si>
  <si>
    <t>과  장</t>
    <phoneticPr fontId="5" type="noConversion"/>
  </si>
  <si>
    <t>과  장</t>
    <phoneticPr fontId="8" type="noConversion"/>
  </si>
  <si>
    <t>부  장</t>
    <phoneticPr fontId="8" type="noConversion"/>
  </si>
  <si>
    <t>사  장</t>
    <phoneticPr fontId="5" type="noConversion"/>
  </si>
  <si>
    <t>사  장</t>
    <phoneticPr fontId="8" type="noConversion"/>
  </si>
  <si>
    <t>순번</t>
    <phoneticPr fontId="8" type="noConversion"/>
  </si>
  <si>
    <t>공종(업체)명</t>
    <phoneticPr fontId="8" type="noConversion"/>
  </si>
  <si>
    <t>전회누계</t>
    <phoneticPr fontId="8" type="noConversion"/>
  </si>
  <si>
    <t>금월발생</t>
    <phoneticPr fontId="8" type="noConversion"/>
  </si>
  <si>
    <t>기 집행금액</t>
    <phoneticPr fontId="8" type="noConversion"/>
  </si>
  <si>
    <t>금회청구</t>
    <phoneticPr fontId="8" type="noConversion"/>
  </si>
  <si>
    <t>누  계</t>
    <phoneticPr fontId="8" type="noConversion"/>
  </si>
  <si>
    <t>본사집행</t>
    <phoneticPr fontId="8" type="noConversion"/>
  </si>
  <si>
    <t>현장경비</t>
    <phoneticPr fontId="8" type="noConversion"/>
  </si>
  <si>
    <t>계</t>
    <phoneticPr fontId="8" type="noConversion"/>
  </si>
  <si>
    <t>직 접 공 사 비</t>
    <phoneticPr fontId="8" type="noConversion"/>
  </si>
  <si>
    <t xml:space="preserve"> 재 료 비</t>
    <phoneticPr fontId="8" type="noConversion"/>
  </si>
  <si>
    <t>원재료(사급+골재)</t>
    <phoneticPr fontId="8" type="noConversion"/>
  </si>
  <si>
    <t xml:space="preserve"> 노 무 비</t>
    <phoneticPr fontId="8" type="noConversion"/>
  </si>
  <si>
    <t>직영노무비</t>
    <phoneticPr fontId="8" type="noConversion"/>
  </si>
  <si>
    <t xml:space="preserve"> 경    비</t>
    <phoneticPr fontId="8" type="noConversion"/>
  </si>
  <si>
    <t xml:space="preserve"> 장 비 비</t>
    <phoneticPr fontId="8" type="noConversion"/>
  </si>
  <si>
    <t>장  비  비</t>
    <phoneticPr fontId="8" type="noConversion"/>
  </si>
  <si>
    <t>유  류  대</t>
    <phoneticPr fontId="8" type="noConversion"/>
  </si>
  <si>
    <t xml:space="preserve"> 외주공사비</t>
    <phoneticPr fontId="8" type="noConversion"/>
  </si>
  <si>
    <t>발주처직불</t>
    <phoneticPr fontId="8" type="noConversion"/>
  </si>
  <si>
    <t>직접공사비 계</t>
    <phoneticPr fontId="8" type="noConversion"/>
  </si>
  <si>
    <t>현
장
관
리
비</t>
    <phoneticPr fontId="8" type="noConversion"/>
  </si>
  <si>
    <t>현장관리비 계</t>
    <phoneticPr fontId="8" type="noConversion"/>
  </si>
  <si>
    <t>고용.산재</t>
    <phoneticPr fontId="8" type="noConversion"/>
  </si>
  <si>
    <t>건강.연금</t>
    <phoneticPr fontId="8" type="noConversion"/>
  </si>
  <si>
    <t>퇴직공제부금</t>
    <phoneticPr fontId="8" type="noConversion"/>
  </si>
  <si>
    <t>계</t>
    <phoneticPr fontId="8" type="noConversion"/>
  </si>
  <si>
    <t xml:space="preserve"> </t>
    <phoneticPr fontId="5" type="noConversion"/>
  </si>
  <si>
    <t>※ 투입현황(발생)</t>
    <phoneticPr fontId="8" type="noConversion"/>
  </si>
  <si>
    <t>※ 매출 및 공정(누계)</t>
    <phoneticPr fontId="8" type="noConversion"/>
  </si>
  <si>
    <t>(공급가액)</t>
    <phoneticPr fontId="8" type="noConversion"/>
  </si>
  <si>
    <t>비 목 별 구 분</t>
    <phoneticPr fontId="8" type="noConversion"/>
  </si>
  <si>
    <t>투  입  현  황 (발 생)</t>
    <phoneticPr fontId="8" type="noConversion"/>
  </si>
  <si>
    <t>예산
대비</t>
    <phoneticPr fontId="8" type="noConversion"/>
  </si>
  <si>
    <t>매 출</t>
    <phoneticPr fontId="8" type="noConversion"/>
  </si>
  <si>
    <t>도 급 액
(A)</t>
    <phoneticPr fontId="8" type="noConversion"/>
  </si>
  <si>
    <t>도급매출
(B)</t>
    <phoneticPr fontId="8" type="noConversion"/>
  </si>
  <si>
    <t>실행매출
(C)</t>
    <phoneticPr fontId="8" type="noConversion"/>
  </si>
  <si>
    <t>실투입비
(D)</t>
    <phoneticPr fontId="8" type="noConversion"/>
  </si>
  <si>
    <t>공정율
(B/A)</t>
    <phoneticPr fontId="8" type="noConversion"/>
  </si>
  <si>
    <t>손 익(D/B)</t>
    <phoneticPr fontId="8" type="noConversion"/>
  </si>
  <si>
    <t xml:space="preserve">전   월  </t>
    <phoneticPr fontId="8" type="noConversion"/>
  </si>
  <si>
    <t>금   월</t>
    <phoneticPr fontId="8" type="noConversion"/>
  </si>
  <si>
    <t>누   계</t>
    <phoneticPr fontId="8" type="noConversion"/>
  </si>
  <si>
    <t>직    
접 
비</t>
    <phoneticPr fontId="8" type="noConversion"/>
  </si>
  <si>
    <t>재  료  비</t>
    <phoneticPr fontId="8" type="noConversion"/>
  </si>
  <si>
    <t>전  월</t>
    <phoneticPr fontId="8" type="noConversion"/>
  </si>
  <si>
    <t>노  무  비</t>
    <phoneticPr fontId="8" type="noConversion"/>
  </si>
  <si>
    <t>금  월</t>
    <phoneticPr fontId="8" type="noConversion"/>
  </si>
  <si>
    <t>경      비</t>
    <phoneticPr fontId="8" type="noConversion"/>
  </si>
  <si>
    <t>장  비  비</t>
    <phoneticPr fontId="8" type="noConversion"/>
  </si>
  <si>
    <t>-</t>
    <phoneticPr fontId="8" type="noConversion"/>
  </si>
  <si>
    <t>=</t>
    <phoneticPr fontId="8" type="noConversion"/>
  </si>
  <si>
    <t>현장직불</t>
    <phoneticPr fontId="8" type="noConversion"/>
  </si>
  <si>
    <t>현
장</t>
    <phoneticPr fontId="5" type="noConversion"/>
  </si>
  <si>
    <t>담  당</t>
    <phoneticPr fontId="5" type="noConversion"/>
  </si>
  <si>
    <t>부   장</t>
    <phoneticPr fontId="5" type="noConversion"/>
  </si>
  <si>
    <t>본  사</t>
    <phoneticPr fontId="8" type="noConversion"/>
  </si>
  <si>
    <t>실  행  예  산</t>
    <phoneticPr fontId="8" type="noConversion"/>
  </si>
  <si>
    <t>기      타</t>
    <phoneticPr fontId="8" type="noConversion"/>
  </si>
  <si>
    <t>1,</t>
    <phoneticPr fontId="56" type="noConversion"/>
  </si>
  <si>
    <t>공사자금청구서작성요령</t>
    <phoneticPr fontId="56" type="noConversion"/>
  </si>
  <si>
    <t>제출일는 매월5일까지 본사도착 할수있도록 할것</t>
    <phoneticPr fontId="56" type="noConversion"/>
  </si>
  <si>
    <t>글씨체는 굴림체로 할것</t>
    <phoneticPr fontId="56" type="noConversion"/>
  </si>
  <si>
    <t>( 도장.사인…사용금지)</t>
    <phoneticPr fontId="56" type="noConversion"/>
  </si>
  <si>
    <t>2,</t>
    <phoneticPr fontId="56" type="noConversion"/>
  </si>
  <si>
    <t>3,</t>
    <phoneticPr fontId="56" type="noConversion"/>
  </si>
  <si>
    <t>4,</t>
    <phoneticPr fontId="56" type="noConversion"/>
  </si>
  <si>
    <t>전월은 공사 착공일로 부터 02월분까지로 하여 작성할것</t>
    <phoneticPr fontId="56" type="noConversion"/>
  </si>
  <si>
    <t xml:space="preserve">실행예산은 본사에 제출한 금액으로 작성하되 변경이 필요하면 새로 품위를 득한 후 </t>
    <phoneticPr fontId="56" type="noConversion"/>
  </si>
  <si>
    <t>변경할것( 미작성 현장은 필히 실행예산서 제출할고 작성할것)</t>
    <phoneticPr fontId="56" type="noConversion"/>
  </si>
  <si>
    <t>5,</t>
    <phoneticPr fontId="56" type="noConversion"/>
  </si>
  <si>
    <t>6,</t>
    <phoneticPr fontId="56" type="noConversion"/>
  </si>
  <si>
    <t>본사관리비는 공급가액의 3% 책정할것</t>
    <phoneticPr fontId="56" type="noConversion"/>
  </si>
  <si>
    <t>도급매출/실행매출  필히 작성할것</t>
    <phoneticPr fontId="56" type="noConversion"/>
  </si>
  <si>
    <t>공종별 진척도 필히 작성할것</t>
    <phoneticPr fontId="56" type="noConversion"/>
  </si>
  <si>
    <t>7,</t>
    <phoneticPr fontId="56" type="noConversion"/>
  </si>
  <si>
    <t>8,</t>
    <phoneticPr fontId="56" type="noConversion"/>
  </si>
  <si>
    <t>9,</t>
    <phoneticPr fontId="56" type="noConversion"/>
  </si>
  <si>
    <t>10,</t>
    <phoneticPr fontId="56" type="noConversion"/>
  </si>
  <si>
    <t>(실행예산 작성시 분계하여 작성)</t>
    <phoneticPr fontId="56" type="noConversion"/>
  </si>
  <si>
    <t>11,</t>
    <phoneticPr fontId="56" type="noConversion"/>
  </si>
  <si>
    <t>12,</t>
    <phoneticPr fontId="56" type="noConversion"/>
  </si>
  <si>
    <t>13,</t>
    <phoneticPr fontId="56" type="noConversion"/>
  </si>
  <si>
    <t>14,</t>
    <phoneticPr fontId="56" type="noConversion"/>
  </si>
  <si>
    <t>15,</t>
    <phoneticPr fontId="56" type="noConversion"/>
  </si>
  <si>
    <t>16,</t>
    <phoneticPr fontId="56" type="noConversion"/>
  </si>
  <si>
    <t>17,</t>
    <phoneticPr fontId="56" type="noConversion"/>
  </si>
  <si>
    <t>문의;본사이용현과장,이수정</t>
    <phoneticPr fontId="56" type="noConversion"/>
  </si>
  <si>
    <t>모든 결재란은 실명서명으로 하고 결재날짜도 각각 기입할것</t>
    <phoneticPr fontId="56" type="noConversion"/>
  </si>
  <si>
    <t>관기성 현황은 ~02월 까지 수령한금액 적을것(도급액으로 작성)</t>
    <phoneticPr fontId="56" type="noConversion"/>
  </si>
  <si>
    <t>현장관리비는 전도자금,카드사용내역서 분계하여 항목별로 작성할것</t>
    <phoneticPr fontId="56" type="noConversion"/>
  </si>
  <si>
    <t>장비비는 장비대,장비사용 유류대 구분하여 작성할것(1톤로라도 포함)</t>
    <phoneticPr fontId="56" type="noConversion"/>
  </si>
  <si>
    <t>보험료는 본사 경리부 문의 후 작성할것</t>
    <phoneticPr fontId="56" type="noConversion"/>
  </si>
  <si>
    <t xml:space="preserve">각 항목별 투입원가는 원가관리시스템에서 직접출력하여 제출할것  </t>
    <phoneticPr fontId="56" type="noConversion"/>
  </si>
  <si>
    <t>주요자재 수불부는 현장에 맞게 항목별로 구분하여 작성할것</t>
    <phoneticPr fontId="56" type="noConversion"/>
  </si>
  <si>
    <t>(도급/사급 필히구분하여 작성할것)- 관급은 수량만 기재</t>
    <phoneticPr fontId="56" type="noConversion"/>
  </si>
  <si>
    <t>외주비 작성시 발주처 직불업체도 필히작성하고 업체별 기성내역서도 필히 제출할것</t>
    <phoneticPr fontId="56" type="noConversion"/>
  </si>
  <si>
    <t>장비비는 장비가동일보 필히 작성할것</t>
    <phoneticPr fontId="56" type="noConversion"/>
  </si>
  <si>
    <t>현장관리비 식대,유류대는 거래처 원장 필히 제출할것</t>
    <phoneticPr fontId="56" type="noConversion"/>
  </si>
  <si>
    <t>장비비</t>
  </si>
  <si>
    <t>소    계</t>
    <phoneticPr fontId="5" type="noConversion"/>
  </si>
  <si>
    <t>직원급료</t>
    <phoneticPr fontId="42" type="noConversion"/>
  </si>
  <si>
    <t>직원상여금</t>
    <phoneticPr fontId="42" type="noConversion"/>
  </si>
  <si>
    <t>현장관리비</t>
    <phoneticPr fontId="5" type="noConversion"/>
  </si>
  <si>
    <t>자  금  청  구   내  역</t>
    <phoneticPr fontId="8" type="noConversion"/>
  </si>
  <si>
    <t>(단위:원)</t>
    <phoneticPr fontId="8" type="noConversion"/>
  </si>
  <si>
    <t>구 분</t>
    <phoneticPr fontId="8" type="noConversion"/>
  </si>
  <si>
    <t>업 체 명</t>
    <phoneticPr fontId="8" type="noConversion"/>
  </si>
  <si>
    <t>적  요</t>
    <phoneticPr fontId="8" type="noConversion"/>
  </si>
  <si>
    <t>공급가액</t>
    <phoneticPr fontId="8" type="noConversion"/>
  </si>
  <si>
    <t>부가세</t>
    <phoneticPr fontId="8" type="noConversion"/>
  </si>
  <si>
    <t>합 계</t>
    <phoneticPr fontId="8" type="noConversion"/>
  </si>
  <si>
    <t>기지급액</t>
    <phoneticPr fontId="8" type="noConversion"/>
  </si>
  <si>
    <t>본사청구액</t>
    <phoneticPr fontId="8" type="noConversion"/>
  </si>
  <si>
    <t>비  고</t>
    <phoneticPr fontId="8" type="noConversion"/>
  </si>
  <si>
    <t>재료비</t>
    <phoneticPr fontId="8" type="noConversion"/>
  </si>
  <si>
    <t>소    계</t>
    <phoneticPr fontId="8" type="noConversion"/>
  </si>
  <si>
    <t>노무비</t>
    <phoneticPr fontId="8" type="noConversion"/>
  </si>
  <si>
    <t xml:space="preserve"> </t>
    <phoneticPr fontId="8" type="noConversion"/>
  </si>
  <si>
    <t>외주비</t>
    <phoneticPr fontId="8" type="noConversion"/>
  </si>
  <si>
    <t>현장관리비</t>
    <phoneticPr fontId="8" type="noConversion"/>
  </si>
  <si>
    <t>소   계</t>
    <phoneticPr fontId="8" type="noConversion"/>
  </si>
  <si>
    <t>안전관리비</t>
    <phoneticPr fontId="8" type="noConversion"/>
  </si>
  <si>
    <t>합   계</t>
    <phoneticPr fontId="8" type="noConversion"/>
  </si>
  <si>
    <t>안전관리비</t>
    <phoneticPr fontId="8" type="noConversion"/>
  </si>
  <si>
    <t>합    계</t>
    <phoneticPr fontId="5" type="noConversion"/>
  </si>
  <si>
    <t>업 체 별 지 급 현 황</t>
    <phoneticPr fontId="8" type="noConversion"/>
  </si>
  <si>
    <t>업체명</t>
    <phoneticPr fontId="8" type="noConversion"/>
  </si>
  <si>
    <t>구  분</t>
    <phoneticPr fontId="5" type="noConversion"/>
  </si>
  <si>
    <t>[소         계]</t>
    <phoneticPr fontId="8" type="noConversion"/>
  </si>
  <si>
    <t>[누         계]</t>
    <phoneticPr fontId="8" type="noConversion"/>
  </si>
  <si>
    <t>구   분</t>
    <phoneticPr fontId="5" type="noConversion"/>
  </si>
  <si>
    <r>
      <t>HD</t>
    </r>
    <r>
      <rPr>
        <sz val="9"/>
        <color indexed="8"/>
        <rFont val="굴림체"/>
        <family val="3"/>
        <charset val="129"/>
      </rPr>
      <t>10</t>
    </r>
    <phoneticPr fontId="5" type="noConversion"/>
  </si>
  <si>
    <t>소 장</t>
    <phoneticPr fontId="5" type="noConversion"/>
  </si>
  <si>
    <t>소 장</t>
    <phoneticPr fontId="5" type="noConversion"/>
  </si>
  <si>
    <t>합  계</t>
    <phoneticPr fontId="8" type="noConversion"/>
  </si>
  <si>
    <t>5월</t>
  </si>
  <si>
    <r>
      <t xml:space="preserve">소 </t>
    </r>
    <r>
      <rPr>
        <sz val="9"/>
        <color indexed="8"/>
        <rFont val="굴림체"/>
        <family val="3"/>
        <charset val="129"/>
      </rPr>
      <t xml:space="preserve"> 장</t>
    </r>
    <phoneticPr fontId="5" type="noConversion"/>
  </si>
  <si>
    <t>3월</t>
  </si>
  <si>
    <t>4월</t>
  </si>
  <si>
    <t>재 료 비</t>
    <phoneticPr fontId="5" type="noConversion"/>
  </si>
  <si>
    <t>노 무 비</t>
    <phoneticPr fontId="5" type="noConversion"/>
  </si>
  <si>
    <t>경    비</t>
    <phoneticPr fontId="5" type="noConversion"/>
  </si>
  <si>
    <t>장 비 비</t>
    <phoneticPr fontId="5" type="noConversion"/>
  </si>
  <si>
    <t>외 주 비</t>
    <phoneticPr fontId="5" type="noConversion"/>
  </si>
  <si>
    <t>[소      계]</t>
    <phoneticPr fontId="8" type="noConversion"/>
  </si>
  <si>
    <t>[누      계]</t>
    <phoneticPr fontId="8" type="noConversion"/>
  </si>
  <si>
    <r>
      <t xml:space="preserve">차 </t>
    </r>
    <r>
      <rPr>
        <sz val="9"/>
        <color indexed="8"/>
        <rFont val="굴림체"/>
        <family val="3"/>
        <charset val="129"/>
      </rPr>
      <t xml:space="preserve"> 장</t>
    </r>
    <phoneticPr fontId="5" type="noConversion"/>
  </si>
  <si>
    <t>상  무</t>
    <phoneticPr fontId="5" type="noConversion"/>
  </si>
  <si>
    <t>상  무</t>
    <phoneticPr fontId="8" type="noConversion"/>
  </si>
  <si>
    <t>전도금 소계</t>
    <phoneticPr fontId="5" type="noConversion"/>
  </si>
  <si>
    <t>현장관리비</t>
  </si>
  <si>
    <t>차량유지비</t>
  </si>
  <si>
    <t>복리후생비</t>
  </si>
  <si>
    <t>접대비</t>
  </si>
  <si>
    <t>회식비</t>
  </si>
  <si>
    <t>자재비</t>
  </si>
  <si>
    <t>전도자금</t>
    <phoneticPr fontId="5" type="noConversion"/>
  </si>
  <si>
    <t>카드</t>
    <phoneticPr fontId="5" type="noConversion"/>
  </si>
  <si>
    <t>현금</t>
    <phoneticPr fontId="5" type="noConversion"/>
  </si>
  <si>
    <t>(유)하나광고</t>
    <phoneticPr fontId="5" type="noConversion"/>
  </si>
  <si>
    <t>소   계</t>
    <phoneticPr fontId="8" type="noConversion"/>
  </si>
  <si>
    <t>출장비</t>
  </si>
  <si>
    <t>여비교통비</t>
  </si>
  <si>
    <t>공사</t>
    <phoneticPr fontId="5" type="noConversion"/>
  </si>
  <si>
    <t>공무</t>
    <phoneticPr fontId="5" type="noConversion"/>
  </si>
  <si>
    <t>25-180-15</t>
    <phoneticPr fontId="5" type="noConversion"/>
  </si>
  <si>
    <t>25-240-15</t>
    <phoneticPr fontId="5" type="noConversion"/>
  </si>
  <si>
    <t>25-210-8</t>
    <phoneticPr fontId="5" type="noConversion"/>
  </si>
  <si>
    <t>40-240-8</t>
    <phoneticPr fontId="5" type="noConversion"/>
  </si>
  <si>
    <t>40-210-8</t>
    <phoneticPr fontId="5" type="noConversion"/>
  </si>
  <si>
    <t>40-180-8</t>
    <phoneticPr fontId="5" type="noConversion"/>
  </si>
  <si>
    <t>자재단가</t>
    <phoneticPr fontId="5" type="noConversion"/>
  </si>
  <si>
    <r>
      <t>레미콘(</t>
    </r>
    <r>
      <rPr>
        <sz val="9"/>
        <color indexed="8"/>
        <rFont val="굴림체"/>
        <family val="3"/>
        <charset val="129"/>
      </rPr>
      <t>M3)</t>
    </r>
    <phoneticPr fontId="5" type="noConversion"/>
  </si>
  <si>
    <t>25-180-8</t>
    <phoneticPr fontId="5" type="noConversion"/>
  </si>
  <si>
    <t>혼합골재(m3)</t>
    <phoneticPr fontId="5" type="noConversion"/>
  </si>
  <si>
    <t>거래처</t>
  </si>
  <si>
    <t>업
체
명
/
금
액</t>
    <phoneticPr fontId="8" type="noConversion"/>
  </si>
  <si>
    <t>안전</t>
    <phoneticPr fontId="5" type="noConversion"/>
  </si>
  <si>
    <t>오.케이레미콘</t>
    <phoneticPr fontId="5" type="noConversion"/>
  </si>
  <si>
    <t>시멘트(포)</t>
    <phoneticPr fontId="5" type="noConversion"/>
  </si>
  <si>
    <t>직 원 급 여</t>
    <phoneticPr fontId="5" type="noConversion"/>
  </si>
  <si>
    <t>철근(TON)</t>
    <phoneticPr fontId="5" type="noConversion"/>
  </si>
  <si>
    <t>D13</t>
    <phoneticPr fontId="5" type="noConversion"/>
  </si>
  <si>
    <t>D16</t>
    <phoneticPr fontId="5" type="noConversion"/>
  </si>
  <si>
    <t>D22</t>
    <phoneticPr fontId="5" type="noConversion"/>
  </si>
  <si>
    <t>HD13</t>
    <phoneticPr fontId="5" type="noConversion"/>
  </si>
  <si>
    <t>HD16</t>
    <phoneticPr fontId="5" type="noConversion"/>
  </si>
  <si>
    <r>
      <t>HD1</t>
    </r>
    <r>
      <rPr>
        <sz val="9"/>
        <color indexed="8"/>
        <rFont val="굴림체"/>
        <family val="3"/>
        <charset val="129"/>
      </rPr>
      <t>9</t>
    </r>
    <phoneticPr fontId="5" type="noConversion"/>
  </si>
  <si>
    <t>HD19</t>
    <phoneticPr fontId="5" type="noConversion"/>
  </si>
  <si>
    <r>
      <t>HD</t>
    </r>
    <r>
      <rPr>
        <sz val="9"/>
        <color indexed="8"/>
        <rFont val="굴림체"/>
        <family val="3"/>
        <charset val="129"/>
      </rPr>
      <t>22</t>
    </r>
    <phoneticPr fontId="5" type="noConversion"/>
  </si>
  <si>
    <r>
      <t>HD25</t>
    </r>
    <r>
      <rPr>
        <sz val="11"/>
        <color indexed="8"/>
        <rFont val="맑은 고딕"/>
        <family val="3"/>
        <charset val="129"/>
      </rPr>
      <t/>
    </r>
    <phoneticPr fontId="5" type="noConversion"/>
  </si>
  <si>
    <t>시멘트벽돌 190*90*57(매)</t>
    <phoneticPr fontId="5" type="noConversion"/>
  </si>
  <si>
    <t>폐골재(m3)</t>
    <phoneticPr fontId="5" type="noConversion"/>
  </si>
  <si>
    <t>쇄석 Ø40MM(m3)</t>
    <phoneticPr fontId="5" type="noConversion"/>
  </si>
  <si>
    <t>잡석,자갈(m3)</t>
    <phoneticPr fontId="5" type="noConversion"/>
  </si>
  <si>
    <t>와이어메쉬 #8 -150*150(m2)</t>
    <phoneticPr fontId="5" type="noConversion"/>
  </si>
  <si>
    <r>
      <t>25-180</t>
    </r>
    <r>
      <rPr>
        <sz val="9"/>
        <color indexed="8"/>
        <rFont val="굴림체"/>
        <family val="3"/>
        <charset val="129"/>
      </rPr>
      <t>-12</t>
    </r>
    <phoneticPr fontId="5" type="noConversion"/>
  </si>
  <si>
    <t>계</t>
    <phoneticPr fontId="5" type="noConversion"/>
  </si>
  <si>
    <t>비 고</t>
    <phoneticPr fontId="5" type="noConversion"/>
  </si>
  <si>
    <t>결
재</t>
    <phoneticPr fontId="5" type="noConversion"/>
  </si>
  <si>
    <t>담당</t>
    <phoneticPr fontId="5" type="noConversion"/>
  </si>
  <si>
    <t>토목</t>
    <phoneticPr fontId="5" type="noConversion"/>
  </si>
  <si>
    <t>소장</t>
    <phoneticPr fontId="5" type="noConversion"/>
  </si>
  <si>
    <t>실행금액</t>
    <phoneticPr fontId="5" type="noConversion"/>
  </si>
  <si>
    <t>압출법 135T
(M2)</t>
    <phoneticPr fontId="5" type="noConversion"/>
  </si>
  <si>
    <t>10월</t>
  </si>
  <si>
    <t>11월</t>
  </si>
  <si>
    <t>12월</t>
  </si>
  <si>
    <t>(유)대신레미콘</t>
    <phoneticPr fontId="5" type="noConversion"/>
  </si>
  <si>
    <t xml:space="preserve">자금청구총괄집계표 ( 09월) </t>
    <phoneticPr fontId="8" type="noConversion"/>
  </si>
  <si>
    <t>폐기물처리비</t>
    <phoneticPr fontId="42" type="noConversion"/>
  </si>
  <si>
    <t>㈜금산</t>
    <phoneticPr fontId="5" type="noConversion"/>
  </si>
  <si>
    <t>콘크리트파일</t>
  </si>
  <si>
    <t>12m</t>
  </si>
  <si>
    <t>15m</t>
  </si>
  <si>
    <t>파일 밴드</t>
  </si>
  <si>
    <t>파일밴드</t>
  </si>
  <si>
    <t>㈜금산</t>
  </si>
  <si>
    <t>비목</t>
    <phoneticPr fontId="78" type="noConversion"/>
  </si>
  <si>
    <t>내용</t>
    <phoneticPr fontId="78" type="noConversion"/>
  </si>
  <si>
    <t>선급금 공제후 실투입비</t>
    <phoneticPr fontId="42" type="noConversion"/>
  </si>
  <si>
    <t>※ 관기성현황</t>
    <phoneticPr fontId="8" type="noConversion"/>
  </si>
  <si>
    <t>구분</t>
    <phoneticPr fontId="42" type="noConversion"/>
  </si>
  <si>
    <t>전회까지기성</t>
    <phoneticPr fontId="42" type="noConversion"/>
  </si>
  <si>
    <t>금회기성액</t>
    <phoneticPr fontId="42" type="noConversion"/>
  </si>
  <si>
    <t>누계기성액</t>
    <phoneticPr fontId="42" type="noConversion"/>
  </si>
  <si>
    <t>기성잔액</t>
    <phoneticPr fontId="42" type="noConversion"/>
  </si>
  <si>
    <t>비고</t>
    <phoneticPr fontId="42" type="noConversion"/>
  </si>
  <si>
    <t>※ 선급금현황</t>
    <phoneticPr fontId="8" type="noConversion"/>
  </si>
  <si>
    <t>업체명</t>
    <phoneticPr fontId="42" type="noConversion"/>
  </si>
  <si>
    <t>선급금지급액</t>
    <phoneticPr fontId="42" type="noConversion"/>
  </si>
  <si>
    <t>정산금액</t>
    <phoneticPr fontId="42" type="noConversion"/>
  </si>
  <si>
    <t>잔액</t>
    <phoneticPr fontId="42" type="noConversion"/>
  </si>
  <si>
    <t>(유)한미동부철강</t>
    <phoneticPr fontId="5" type="noConversion"/>
  </si>
  <si>
    <t>(유)대호레미콘</t>
    <phoneticPr fontId="5" type="noConversion"/>
  </si>
  <si>
    <t>몰탈 (M3)</t>
    <phoneticPr fontId="5" type="noConversion"/>
  </si>
  <si>
    <t>1:3</t>
    <phoneticPr fontId="5" type="noConversion"/>
  </si>
  <si>
    <t>25-18-80</t>
    <phoneticPr fontId="5" type="noConversion"/>
  </si>
  <si>
    <t>25-21-120</t>
    <phoneticPr fontId="5" type="noConversion"/>
  </si>
  <si>
    <t>25-21-150</t>
    <phoneticPr fontId="5" type="noConversion"/>
  </si>
  <si>
    <t>25-24-150</t>
    <phoneticPr fontId="5" type="noConversion"/>
  </si>
  <si>
    <t>HD22</t>
    <phoneticPr fontId="5" type="noConversion"/>
  </si>
  <si>
    <t>HD25</t>
    <phoneticPr fontId="5" type="noConversion"/>
  </si>
  <si>
    <t>HD25 (SD500)</t>
    <phoneticPr fontId="5" type="noConversion"/>
  </si>
  <si>
    <t>대양스티로폴</t>
    <phoneticPr fontId="5" type="noConversion"/>
  </si>
  <si>
    <t>비드법 100T
(M2)</t>
    <phoneticPr fontId="5" type="noConversion"/>
  </si>
  <si>
    <t>구   분</t>
    <phoneticPr fontId="8" type="noConversion"/>
  </si>
  <si>
    <t>실행금액</t>
    <phoneticPr fontId="5" type="noConversion"/>
  </si>
  <si>
    <t>합  계</t>
    <phoneticPr fontId="8" type="noConversion"/>
  </si>
  <si>
    <t>통신비</t>
  </si>
  <si>
    <t>소모품비</t>
  </si>
  <si>
    <t>도서인쇄비</t>
  </si>
  <si>
    <t>수선비</t>
  </si>
  <si>
    <t>야간 경비</t>
  </si>
  <si>
    <t>운반비</t>
  </si>
  <si>
    <t>기타임차료</t>
  </si>
  <si>
    <t>출 장 비</t>
  </si>
  <si>
    <t>잡비</t>
  </si>
  <si>
    <t>예비비</t>
  </si>
  <si>
    <t>안전 기원제</t>
  </si>
  <si>
    <t>준공</t>
  </si>
  <si>
    <t>임  직   급  여</t>
  </si>
  <si>
    <t>(유)대원철강</t>
    <phoneticPr fontId="5" type="noConversion"/>
  </si>
  <si>
    <t>경희건재</t>
    <phoneticPr fontId="5" type="noConversion"/>
  </si>
  <si>
    <t>모래</t>
    <phoneticPr fontId="5" type="noConversion"/>
  </si>
  <si>
    <t>비드법 50T
(M2)</t>
    <phoneticPr fontId="5" type="noConversion"/>
  </si>
  <si>
    <t>영진특수개발</t>
    <phoneticPr fontId="5" type="noConversion"/>
  </si>
  <si>
    <t>대영판넬</t>
    <phoneticPr fontId="5" type="noConversion"/>
  </si>
  <si>
    <t>비드법 10T
(M2)</t>
    <phoneticPr fontId="5" type="noConversion"/>
  </si>
  <si>
    <t>비드법 30T
(M2)</t>
    <phoneticPr fontId="5" type="noConversion"/>
  </si>
  <si>
    <t>비드법 70T
(M2)</t>
    <phoneticPr fontId="5" type="noConversion"/>
  </si>
  <si>
    <t>압출법 90T
(M2)</t>
    <phoneticPr fontId="5" type="noConversion"/>
  </si>
  <si>
    <t>금액</t>
    <phoneticPr fontId="78" type="noConversion"/>
  </si>
  <si>
    <t>시멘트(벌크)</t>
    <phoneticPr fontId="5" type="noConversion"/>
  </si>
  <si>
    <t>레미탈(벌크)</t>
    <phoneticPr fontId="5" type="noConversion"/>
  </si>
  <si>
    <t>레미탈(포)-견출용</t>
    <phoneticPr fontId="5" type="noConversion"/>
  </si>
  <si>
    <t>비드법 60T
(M2)</t>
    <phoneticPr fontId="5" type="noConversion"/>
  </si>
  <si>
    <t>혼합석</t>
    <phoneticPr fontId="5" type="noConversion"/>
  </si>
  <si>
    <t>점토벽돌</t>
    <phoneticPr fontId="5" type="noConversion"/>
  </si>
  <si>
    <t>25-21-80</t>
    <phoneticPr fontId="5" type="noConversion"/>
  </si>
  <si>
    <t>25-24-80</t>
    <phoneticPr fontId="5" type="noConversion"/>
  </si>
  <si>
    <t>레미탈(포)-타일용</t>
    <phoneticPr fontId="5" type="noConversion"/>
  </si>
  <si>
    <t>㈜대주개발
서천공장</t>
    <phoneticPr fontId="5" type="noConversion"/>
  </si>
  <si>
    <t>아스콘표층</t>
    <phoneticPr fontId="5" type="noConversion"/>
  </si>
  <si>
    <t>현 장 명 : 충북혁신도시 오피스텔 신축공사</t>
    <phoneticPr fontId="8" type="noConversion"/>
  </si>
  <si>
    <t>9월</t>
  </si>
  <si>
    <t>공사기간 : 2014.05.20 ~ 2015.06.30</t>
    <phoneticPr fontId="5" type="noConversion"/>
  </si>
  <si>
    <t>한라엔컴</t>
    <phoneticPr fontId="5" type="noConversion"/>
  </si>
  <si>
    <t>7m</t>
    <phoneticPr fontId="5" type="noConversion"/>
  </si>
  <si>
    <t>10M</t>
  </si>
  <si>
    <t>영풍파일㈜</t>
  </si>
  <si>
    <t>영풍파일㈜</t>
    <phoneticPr fontId="5" type="noConversion"/>
  </si>
  <si>
    <t>13m</t>
    <phoneticPr fontId="5" type="noConversion"/>
  </si>
  <si>
    <t>15m</t>
    <phoneticPr fontId="5" type="noConversion"/>
  </si>
  <si>
    <t>9m</t>
    <phoneticPr fontId="5" type="noConversion"/>
  </si>
  <si>
    <t>※내역외 투입금액</t>
    <phoneticPr fontId="42" type="noConversion"/>
  </si>
  <si>
    <t>25-27-12</t>
    <phoneticPr fontId="5" type="noConversion"/>
  </si>
  <si>
    <t>㈜성호금속</t>
    <phoneticPr fontId="5" type="noConversion"/>
  </si>
  <si>
    <t>㈜에이치앤철강</t>
    <phoneticPr fontId="5" type="noConversion"/>
  </si>
  <si>
    <t>태양건설중기</t>
    <phoneticPr fontId="5" type="noConversion"/>
  </si>
  <si>
    <t xml:space="preserve"> </t>
    <phoneticPr fontId="42" type="noConversion"/>
  </si>
  <si>
    <t>KJsteel</t>
    <phoneticPr fontId="5" type="noConversion"/>
  </si>
  <si>
    <t>자재비투입원가(7월)원가일보수정본으로 대체</t>
    <phoneticPr fontId="5" type="noConversion"/>
  </si>
  <si>
    <t>사용일</t>
    <phoneticPr fontId="78" type="noConversion"/>
  </si>
  <si>
    <t>현장명</t>
  </si>
  <si>
    <t>금  액</t>
    <phoneticPr fontId="42" type="noConversion"/>
  </si>
  <si>
    <t>구  분</t>
    <phoneticPr fontId="42" type="noConversion"/>
  </si>
  <si>
    <t>부가세별도</t>
    <phoneticPr fontId="42" type="noConversion"/>
  </si>
  <si>
    <t>원   도   급</t>
    <phoneticPr fontId="42" type="noConversion"/>
  </si>
  <si>
    <t>소   계</t>
    <phoneticPr fontId="42" type="noConversion"/>
  </si>
  <si>
    <t>하 도 급</t>
    <phoneticPr fontId="42" type="noConversion"/>
  </si>
  <si>
    <t>합    계</t>
    <phoneticPr fontId="42" type="noConversion"/>
  </si>
  <si>
    <t>설계변경예정
및
보증금</t>
    <phoneticPr fontId="42" type="noConversion"/>
  </si>
  <si>
    <t>공사명</t>
  </si>
  <si>
    <t>(D/C)</t>
    <phoneticPr fontId="8" type="noConversion"/>
  </si>
  <si>
    <t>당초</t>
    <phoneticPr fontId="42" type="noConversion"/>
  </si>
  <si>
    <t>변경</t>
    <phoneticPr fontId="42" type="noConversion"/>
  </si>
  <si>
    <t>\</t>
    <phoneticPr fontId="78" type="noConversion"/>
  </si>
  <si>
    <t>현장관리비</t>
    <phoneticPr fontId="8" type="noConversion"/>
  </si>
  <si>
    <t>실 행 예 산
(가실행)</t>
    <phoneticPr fontId="8" type="noConversion"/>
  </si>
  <si>
    <t>합     계</t>
    <phoneticPr fontId="78" type="noConversion"/>
  </si>
  <si>
    <t>임원카드</t>
    <phoneticPr fontId="5" type="noConversion"/>
  </si>
  <si>
    <t>현장카드</t>
    <phoneticPr fontId="5" type="noConversion"/>
  </si>
  <si>
    <t>도급금액</t>
    <phoneticPr fontId="42" type="noConversion"/>
  </si>
  <si>
    <t>실행금액</t>
    <phoneticPr fontId="42" type="noConversion"/>
  </si>
  <si>
    <t>비율</t>
    <phoneticPr fontId="42" type="noConversion"/>
  </si>
  <si>
    <t>투입금액</t>
    <phoneticPr fontId="42" type="noConversion"/>
  </si>
  <si>
    <t>비율</t>
    <phoneticPr fontId="42" type="noConversion"/>
  </si>
  <si>
    <t xml:space="preserve">결
재 </t>
    <phoneticPr fontId="42" type="noConversion"/>
  </si>
  <si>
    <t>현
장</t>
    <phoneticPr fontId="42" type="noConversion"/>
  </si>
  <si>
    <t>관
리</t>
    <phoneticPr fontId="42" type="noConversion"/>
  </si>
  <si>
    <t>담당</t>
    <phoneticPr fontId="42" type="noConversion"/>
  </si>
  <si>
    <t>과장</t>
    <phoneticPr fontId="42" type="noConversion"/>
  </si>
  <si>
    <t>공무</t>
    <phoneticPr fontId="42" type="noConversion"/>
  </si>
  <si>
    <t>공사</t>
    <phoneticPr fontId="42" type="noConversion"/>
  </si>
  <si>
    <t>소장</t>
    <phoneticPr fontId="42" type="noConversion"/>
  </si>
  <si>
    <t>회식</t>
  </si>
  <si>
    <t>식대 발생현황 (3월)</t>
  </si>
  <si>
    <t>산동지구</t>
  </si>
  <si>
    <t>산동지구 다목적 농촌용수 개발사업</t>
  </si>
  <si>
    <t>날  짜</t>
  </si>
  <si>
    <t>카  드  발  생</t>
  </si>
  <si>
    <t>합     계</t>
  </si>
  <si>
    <t>비  고</t>
  </si>
  <si>
    <t>조  식</t>
  </si>
  <si>
    <t>중  식</t>
  </si>
  <si>
    <t>석  식</t>
  </si>
  <si>
    <t>회  식</t>
  </si>
  <si>
    <t>조식</t>
  </si>
  <si>
    <t>중식</t>
  </si>
  <si>
    <t>석식</t>
  </si>
  <si>
    <t>결
재</t>
  </si>
  <si>
    <t>담  당</t>
  </si>
  <si>
    <t>소  장</t>
  </si>
  <si>
    <t>0  0  식  당(외상 거래)</t>
    <phoneticPr fontId="120" type="noConversion"/>
  </si>
  <si>
    <t>사장</t>
    <phoneticPr fontId="42" type="noConversion"/>
  </si>
  <si>
    <t>회장</t>
    <phoneticPr fontId="42" type="noConversion"/>
  </si>
  <si>
    <t>이사</t>
    <phoneticPr fontId="42" type="noConversion"/>
  </si>
  <si>
    <t>사장</t>
    <phoneticPr fontId="42" type="noConversion"/>
  </si>
  <si>
    <t>본사관리비</t>
    <phoneticPr fontId="42" type="noConversion"/>
  </si>
  <si>
    <t>합계(보험제외)</t>
    <phoneticPr fontId="42" type="noConversion"/>
  </si>
  <si>
    <t>합  계(보험포함)</t>
    <phoneticPr fontId="8" type="noConversion"/>
  </si>
  <si>
    <t>비율</t>
    <phoneticPr fontId="42" type="noConversion"/>
  </si>
  <si>
    <t>전무</t>
    <phoneticPr fontId="42" type="noConversion"/>
  </si>
  <si>
    <t>2020.01월 임원카드 사용 내역</t>
    <phoneticPr fontId="5" type="noConversion"/>
  </si>
  <si>
    <t>01월</t>
    <phoneticPr fontId="5" type="noConversion"/>
  </si>
  <si>
    <t>01월</t>
    <phoneticPr fontId="5" type="noConversion"/>
  </si>
  <si>
    <t>02월</t>
    <phoneticPr fontId="5" type="noConversion"/>
  </si>
  <si>
    <t>공 종</t>
    <phoneticPr fontId="143" type="noConversion"/>
  </si>
  <si>
    <t>상 호</t>
    <phoneticPr fontId="143" type="noConversion"/>
  </si>
  <si>
    <t>대 표 자</t>
    <phoneticPr fontId="143" type="noConversion"/>
  </si>
  <si>
    <t>전회기성</t>
    <phoneticPr fontId="143" type="noConversion"/>
  </si>
  <si>
    <t>금회기성</t>
    <phoneticPr fontId="143" type="noConversion"/>
  </si>
  <si>
    <t>누계기성</t>
    <phoneticPr fontId="143" type="noConversion"/>
  </si>
  <si>
    <t>은행명</t>
    <phoneticPr fontId="143" type="noConversion"/>
  </si>
  <si>
    <t>계좌번호</t>
    <phoneticPr fontId="143" type="noConversion"/>
  </si>
  <si>
    <t>예금주</t>
    <phoneticPr fontId="143" type="noConversion"/>
  </si>
  <si>
    <t>입금여부</t>
    <phoneticPr fontId="143" type="noConversion"/>
  </si>
  <si>
    <t>비 고</t>
    <phoneticPr fontId="143" type="noConversion"/>
  </si>
  <si>
    <t>공 급 가 액</t>
    <phoneticPr fontId="143" type="noConversion"/>
  </si>
  <si>
    <t>부 가 세</t>
    <phoneticPr fontId="143" type="noConversion"/>
  </si>
  <si>
    <t>합 계</t>
    <phoneticPr fontId="143" type="noConversion"/>
  </si>
  <si>
    <t>외주비</t>
    <phoneticPr fontId="143" type="noConversion"/>
  </si>
  <si>
    <t>소 계</t>
    <phoneticPr fontId="143" type="noConversion"/>
  </si>
  <si>
    <t>노무비</t>
    <phoneticPr fontId="143" type="noConversion"/>
  </si>
  <si>
    <t>전도금</t>
    <phoneticPr fontId="5" type="noConversion"/>
  </si>
  <si>
    <t>공 사 자 금 청 구 서 (2025년 01월)</t>
    <phoneticPr fontId="8" type="noConversion"/>
  </si>
  <si>
    <t>현 장 명 : 어양중 본관동 강당동 
          방수공사 및 기타공사</t>
    <phoneticPr fontId="42" type="noConversion"/>
  </si>
  <si>
    <t>공사기간 : 2024.09.30~2024.11.28</t>
    <phoneticPr fontId="42" type="noConversion"/>
  </si>
  <si>
    <t>발 주 처: 익산지방교육지원청</t>
    <phoneticPr fontId="8" type="noConversion"/>
  </si>
  <si>
    <t>기  타</t>
    <phoneticPr fontId="8" type="noConversion"/>
  </si>
  <si>
    <t>공사비 합 계</t>
    <phoneticPr fontId="8" type="noConversion"/>
  </si>
  <si>
    <t>보증수수료</t>
    <phoneticPr fontId="42" type="noConversion"/>
  </si>
  <si>
    <t>직원급여 외</t>
    <phoneticPr fontId="8" type="noConversion"/>
  </si>
  <si>
    <t>수입인지</t>
    <phoneticPr fontId="42" type="noConversion"/>
  </si>
  <si>
    <t>공채매입</t>
    <phoneticPr fontId="42" type="noConversion"/>
  </si>
  <si>
    <t>11월</t>
    <phoneticPr fontId="5" type="noConversion"/>
  </si>
  <si>
    <t>12월</t>
    <phoneticPr fontId="5" type="noConversion"/>
  </si>
  <si>
    <t>㈜에이텍</t>
  </si>
  <si>
    <t>㈜에이텍</t>
    <phoneticPr fontId="142" type="noConversion"/>
  </si>
  <si>
    <t>전자카드단말기</t>
  </si>
  <si>
    <t>전자카드단말기</t>
    <phoneticPr fontId="142" type="noConversion"/>
  </si>
  <si>
    <t>아리울상사</t>
  </si>
  <si>
    <t>아리울상사</t>
    <phoneticPr fontId="142" type="noConversion"/>
  </si>
  <si>
    <t>안전화 외</t>
  </si>
  <si>
    <t>안전화 외</t>
    <phoneticPr fontId="142" type="noConversion"/>
  </si>
  <si>
    <t xml:space="preserve"> ( □재료비  □노무비  □경비  □장비비  □외주비  □현장관리비  ■안전+환경+폐기물 )</t>
    <phoneticPr fontId="5" type="noConversion"/>
  </si>
  <si>
    <t>어양중</t>
  </si>
  <si>
    <t>어양중</t>
    <phoneticPr fontId="142" type="noConversion"/>
  </si>
  <si>
    <t>수도광열비</t>
  </si>
  <si>
    <t>수도광열비</t>
    <phoneticPr fontId="142" type="noConversion"/>
  </si>
  <si>
    <t>세하디엔씨</t>
  </si>
  <si>
    <t>세하디엔씨</t>
    <phoneticPr fontId="142" type="noConversion"/>
  </si>
  <si>
    <t>시트판넬</t>
  </si>
  <si>
    <t>시트판넬</t>
    <phoneticPr fontId="142" type="noConversion"/>
  </si>
  <si>
    <t>옥석건설</t>
  </si>
  <si>
    <t>옥석건설</t>
    <phoneticPr fontId="142" type="noConversion"/>
  </si>
  <si>
    <t>적벽돌리노베이션</t>
  </si>
  <si>
    <t>적벽돌리노베이션</t>
    <phoneticPr fontId="142" type="noConversion"/>
  </si>
  <si>
    <t>(유)해머</t>
  </si>
  <si>
    <t>(유)해머</t>
    <phoneticPr fontId="142" type="noConversion"/>
  </si>
  <si>
    <t>임목처리</t>
  </si>
  <si>
    <t>임목처리</t>
    <phoneticPr fontId="142" type="noConversion"/>
  </si>
  <si>
    <t>신원EPS산업</t>
    <phoneticPr fontId="142" type="noConversion"/>
  </si>
  <si>
    <t>단열재</t>
    <phoneticPr fontId="142" type="noConversion"/>
  </si>
  <si>
    <t xml:space="preserve"> ( □재료비  □노무비  □경비  □장비비  □외주비  ■현장관리비  □안전+환경+폐기물 )</t>
    <phoneticPr fontId="8" type="noConversion"/>
  </si>
  <si>
    <t xml:space="preserve"> ( □재료비  □노무비  □경비  □장비비  ■외주비  □현장관리비  □안전+환경+폐기물 )</t>
    <phoneticPr fontId="5" type="noConversion"/>
  </si>
  <si>
    <t xml:space="preserve"> ( □재료비  □노무비  □경비  ■장비비  □외주비  □현장관리비  □안전+환경+폐기물 )</t>
    <phoneticPr fontId="5" type="noConversion"/>
  </si>
  <si>
    <t xml:space="preserve"> ( □재료비  □노무비  ■경비  □장비비  □외주비  □현장관리비  □안전+환경+폐기물 )</t>
    <phoneticPr fontId="5" type="noConversion"/>
  </si>
  <si>
    <t xml:space="preserve"> ( □재료비  ■노무비  □경비  □장비비  □외주비  □현장관리비  □안전+환경+폐기물 )</t>
    <phoneticPr fontId="5" type="noConversion"/>
  </si>
  <si>
    <t xml:space="preserve"> ( ■재료비  □노무비  □경비  □장비비  □외주비  □현장관리비  □안전+환경+폐기물 )</t>
    <phoneticPr fontId="5" type="noConversion"/>
  </si>
  <si>
    <t>코리아환경</t>
  </si>
  <si>
    <t>코리아환경</t>
    <phoneticPr fontId="142" type="noConversion"/>
  </si>
  <si>
    <t>폐기물</t>
  </si>
  <si>
    <t>폐기물</t>
    <phoneticPr fontId="142" type="noConversion"/>
  </si>
  <si>
    <t>㈜아리울건설</t>
  </si>
  <si>
    <t>㈜아리울건설</t>
    <phoneticPr fontId="142" type="noConversion"/>
  </si>
  <si>
    <t>옥상방수</t>
  </si>
  <si>
    <t>옥상방수</t>
    <phoneticPr fontId="142" type="noConversion"/>
  </si>
  <si>
    <t>동창기와건설</t>
  </si>
  <si>
    <t>동창기와건설</t>
    <phoneticPr fontId="142" type="noConversion"/>
  </si>
  <si>
    <t>기와보수</t>
  </si>
  <si>
    <t>기와보수</t>
    <phoneticPr fontId="142" type="noConversion"/>
  </si>
  <si>
    <t>다사자원</t>
  </si>
  <si>
    <t>다사자원</t>
    <phoneticPr fontId="142" type="noConversion"/>
  </si>
  <si>
    <t>철거</t>
  </si>
  <si>
    <t>철거</t>
    <phoneticPr fontId="142" type="noConversion"/>
  </si>
  <si>
    <t>안전+환경+폐기물</t>
    <phoneticPr fontId="5" type="noConversion"/>
  </si>
  <si>
    <t>현 장 명 : 어양중 본관동 강당동 방수공사 및 기타공사</t>
    <phoneticPr fontId="5" type="noConversion"/>
  </si>
  <si>
    <t>공 사 명 : 어양중 본관동 강당동 방수공사 및 기타공사</t>
    <phoneticPr fontId="142" type="noConversion"/>
  </si>
  <si>
    <t>재료비</t>
    <phoneticPr fontId="143" type="noConversion"/>
  </si>
  <si>
    <t>경비</t>
    <phoneticPr fontId="143" type="noConversion"/>
  </si>
  <si>
    <t>장비비</t>
    <phoneticPr fontId="143" type="noConversion"/>
  </si>
  <si>
    <t>안전,환경, 폐기물</t>
    <phoneticPr fontId="143" type="noConversion"/>
  </si>
  <si>
    <t>현장
관리비</t>
    <phoneticPr fontId="143" type="noConversion"/>
  </si>
  <si>
    <t>금회 청구액 : 금회발생분-기집행금 =</t>
    <phoneticPr fontId="8" type="noConversion"/>
  </si>
  <si>
    <t>신원EPS산업</t>
    <phoneticPr fontId="143" type="noConversion"/>
  </si>
  <si>
    <t>단열재</t>
    <phoneticPr fontId="142" type="noConversion"/>
  </si>
  <si>
    <t>전도금</t>
    <phoneticPr fontId="142" type="noConversion"/>
  </si>
  <si>
    <t>청구목록표 (2024년12월 2회)</t>
    <phoneticPr fontId="143" type="noConversion"/>
  </si>
  <si>
    <t>외  주  비</t>
    <phoneticPr fontId="42" type="noConversion"/>
  </si>
  <si>
    <t>(직접비) 소  계</t>
    <phoneticPr fontId="8" type="noConversion"/>
  </si>
  <si>
    <t>간접비</t>
    <phoneticPr fontId="8" type="noConversion"/>
  </si>
  <si>
    <t>(간접비) 소  계</t>
    <phoneticPr fontId="8" type="noConversion"/>
  </si>
  <si>
    <t>안전+품질+환경+폐기물</t>
    <phoneticPr fontId="8" type="noConversion"/>
  </si>
  <si>
    <t>(기 타) 소  계</t>
    <phoneticPr fontId="8" type="noConversion"/>
  </si>
  <si>
    <t>정  산  서</t>
    <phoneticPr fontId="143" type="noConversion"/>
  </si>
  <si>
    <t>비목별 구분</t>
    <phoneticPr fontId="143" type="noConversion"/>
  </si>
  <si>
    <t>최종 도급액</t>
    <phoneticPr fontId="143" type="noConversion"/>
  </si>
  <si>
    <t>실행예산</t>
    <phoneticPr fontId="143" type="noConversion"/>
  </si>
  <si>
    <t>실투입액</t>
    <phoneticPr fontId="143" type="noConversion"/>
  </si>
  <si>
    <t>이  윤</t>
    <phoneticPr fontId="143" type="noConversion"/>
  </si>
  <si>
    <t>도급대비(%)</t>
    <phoneticPr fontId="143" type="noConversion"/>
  </si>
  <si>
    <t>실행대비(%)</t>
    <phoneticPr fontId="143" type="noConversion"/>
  </si>
  <si>
    <t>직접비</t>
    <phoneticPr fontId="143" type="noConversion"/>
  </si>
  <si>
    <t>(직접비) 소 계</t>
    <phoneticPr fontId="143" type="noConversion"/>
  </si>
  <si>
    <t>간접비</t>
    <phoneticPr fontId="143" type="noConversion"/>
  </si>
  <si>
    <t>현장관리비</t>
    <phoneticPr fontId="143" type="noConversion"/>
  </si>
  <si>
    <t>기타경비</t>
    <phoneticPr fontId="143" type="noConversion"/>
  </si>
  <si>
    <t>직원급여 외</t>
    <phoneticPr fontId="143" type="noConversion"/>
  </si>
  <si>
    <t>간접노무비</t>
    <phoneticPr fontId="143" type="noConversion"/>
  </si>
  <si>
    <t>안전+품질+환경+폐기물</t>
    <phoneticPr fontId="143" type="noConversion"/>
  </si>
  <si>
    <t>(간접비) 소 계</t>
    <phoneticPr fontId="143" type="noConversion"/>
  </si>
  <si>
    <t>공사비 합 계</t>
    <phoneticPr fontId="143" type="noConversion"/>
  </si>
  <si>
    <t>기  타</t>
    <phoneticPr fontId="143" type="noConversion"/>
  </si>
  <si>
    <t>보증수수료</t>
    <phoneticPr fontId="143" type="noConversion"/>
  </si>
  <si>
    <t>하도급보증 등 각종 보증수수료</t>
    <phoneticPr fontId="143" type="noConversion"/>
  </si>
  <si>
    <t>수입인지</t>
    <phoneticPr fontId="143" type="noConversion"/>
  </si>
  <si>
    <t>공채매입</t>
    <phoneticPr fontId="143" type="noConversion"/>
  </si>
  <si>
    <t>(기  타) 소 계</t>
    <phoneticPr fontId="143" type="noConversion"/>
  </si>
  <si>
    <t>본 사 관 리 비</t>
    <phoneticPr fontId="143" type="noConversion"/>
  </si>
  <si>
    <t>일반관리비</t>
    <phoneticPr fontId="143" type="noConversion"/>
  </si>
  <si>
    <t>합    계 (보험제외)</t>
    <phoneticPr fontId="143" type="noConversion"/>
  </si>
  <si>
    <t>합    계 (보험포함)</t>
    <phoneticPr fontId="143" type="noConversion"/>
  </si>
  <si>
    <t>공사원가(보험)</t>
    <phoneticPr fontId="8" type="noConversion"/>
  </si>
  <si>
    <t>공사원가(보험)</t>
    <phoneticPr fontId="1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</si>
</sst>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1">
    <numFmt numFmtId="41" formatCode="_-* #,##0_-;\-* #,##0_-;_-* &quot;-&quot;_-;_-@_-"/>
    <numFmt numFmtId="43" formatCode="_-* #,##0.00_-;\-* #,##0.00_-;_-* &quot;-&quot;??_-;_-@_-"/>
    <numFmt numFmtId="176" formatCode="&quot;True&quot;;&quot;True&quot;;&quot;False&quot;"/>
    <numFmt numFmtId="177" formatCode="&quot;?#,##0.00;\-&quot;&quot;?&quot;#,##0.00"/>
    <numFmt numFmtId="178" formatCode="_ &quot;SFr.&quot;* #,##0_ ;_ &quot;SFr.&quot;* \-#,##0_ ;_ &quot;SFr.&quot;* &quot;-&quot;_ ;_ @_ "/>
    <numFmt numFmtId="179" formatCode="&quot;?#,##0.00;[Red]\-&quot;&quot;?&quot;#,##0.00"/>
    <numFmt numFmtId="180" formatCode="#,##0;[Red]&quot;-&quot;#,##0"/>
    <numFmt numFmtId="181" formatCode="#,##0\ ;[Red]&quot;-&quot;#,##0\ "/>
    <numFmt numFmtId="182" formatCode="* #,##0\ ;[Red]* &quot;-&quot;#,##0\ "/>
    <numFmt numFmtId="183" formatCode="#,##0.####;[Red]&quot;-&quot;#,##0.####"/>
    <numFmt numFmtId="184" formatCode="#,##0.0###\ ;[Red]&quot;-&quot;#,##0.0###\ "/>
    <numFmt numFmtId="185" formatCode="&quot;?#,##0;[Red]\-&quot;&quot;?&quot;#,##0"/>
    <numFmt numFmtId="186" formatCode="&quot;?#,##0;\-&quot;&quot;?&quot;#,##0"/>
    <numFmt numFmtId="187" formatCode="&quot;S&quot;\ #,##0;\-&quot;S&quot;\ #,##0"/>
    <numFmt numFmtId="188" formatCode="_ * #,##0_ ;_ * \-#,##0_ ;_ * &quot;-&quot;_ ;_ @_ "/>
    <numFmt numFmtId="189" formatCode="_ * #,##0.00_ ;_ * \-#,##0.00_ ;_ * &quot;-&quot;??_ ;_ @_ "/>
    <numFmt numFmtId="190" formatCode="#."/>
    <numFmt numFmtId="191" formatCode="_(* #,##0_);_(* \(#,##0\);_(* &quot;-&quot;_);_(@_)"/>
    <numFmt numFmtId="192" formatCode="_ * #,#00_ ;_ * \-#,#00_ ;_ * &quot;-&quot;_ ;_ @_ "/>
    <numFmt numFmtId="193" formatCode="&quot;₩&quot;#,##0.00;&quot;₩&quot;\-#,##0.00"/>
    <numFmt numFmtId="194" formatCode="_-* #,##0\ _D_M_-;\-* #,##0\ _D_M_-;_-* &quot;-&quot;\ _D_M_-;_-@_-"/>
    <numFmt numFmtId="195" formatCode="_-* #,##0.00\ _D_M_-;\-* #,##0.00\ _D_M_-;_-* &quot;-&quot;??\ _D_M_-;_-@_-"/>
    <numFmt numFmtId="196" formatCode="#,##0.0000"/>
    <numFmt numFmtId="197" formatCode="General_)"/>
    <numFmt numFmtId="198" formatCode="0.0_)"/>
    <numFmt numFmtId="199" formatCode="_-* #,##0\ &quot;DM&quot;_-;\-* #,##0\ &quot;DM&quot;_-;_-* &quot;-&quot;\ &quot;DM&quot;_-;_-@_-"/>
    <numFmt numFmtId="200" formatCode="_-* #,##0.00\ &quot;DM&quot;_-;\-* #,##0.00\ &quot;DM&quot;_-;_-* &quot;-&quot;??\ &quot;DM&quot;_-;_-@_-"/>
    <numFmt numFmtId="201" formatCode="#,##0_ "/>
    <numFmt numFmtId="202" formatCode="#,##0_);[Red]\(#,##0\)"/>
    <numFmt numFmtId="203" formatCode="_-* #,##0.00_-;\-* #,##0.00_-;_-* &quot;-&quot;_-;_-@_-"/>
    <numFmt numFmtId="204" formatCode="mm&quot;월&quot;\ dd&quot;일&quot;"/>
    <numFmt numFmtId="205" formatCode="_-* #,##0_-;&quot;₩&quot;\!\-* #,##0_-;_-* &quot;-&quot;_-;_-@_-"/>
    <numFmt numFmtId="206" formatCode="&quot;(&quot;#,##0&quot;)&quot;"/>
    <numFmt numFmtId="207" formatCode="_-* #,##0.000_-;\-* #,##0.000_-;_-* &quot;-&quot;_-;_-@_-"/>
    <numFmt numFmtId="208" formatCode="_-* #,##0_-;\-* #,##0_-;_-* &quot;-&quot;?_-;_-@_-"/>
    <numFmt numFmtId="209" formatCode="_-* #,##0.0_-;\-* #,##0.0_-;_-* &quot;-&quot;_-;_-@_-"/>
    <numFmt numFmtId="210" formatCode="0.0000%"/>
    <numFmt numFmtId="211" formatCode="_-* #,##0.0000_-;\-* #,##0.0000_-;_-* &quot;-&quot;??_-;_-@_-"/>
    <numFmt numFmtId="212" formatCode="&quot;SFr.&quot;#,##0.00;&quot;SFr.&quot;\-#,##0.00"/>
    <numFmt numFmtId="213" formatCode="&quot;도급대비&quot;0.00%"/>
    <numFmt numFmtId="214" formatCode="mm/dd/yyyy"/>
    <numFmt numFmtId="215" formatCode="&quot;$&quot;#,##0.000"/>
    <numFmt numFmtId="216" formatCode="%#.00"/>
    <numFmt numFmtId="217" formatCode="&quot;₩&quot;#,##0;&quot;₩&quot;&quot;₩&quot;&quot;₩&quot;&quot;₩&quot;\-#,##0"/>
    <numFmt numFmtId="218" formatCode="&quot;₩&quot;#,##0;[Red]&quot;₩&quot;&quot;₩&quot;&quot;₩&quot;&quot;₩&quot;\-#,##0"/>
    <numFmt numFmtId="219" formatCode="_-* #,##0.00_-;&quot;₩&quot;&quot;₩&quot;\-* #,##0.00_-;_-* &quot;-&quot;??_-;_-@_-"/>
    <numFmt numFmtId="220" formatCode="_-&quot;₩&quot;* #,##0.00_-;&quot;₩&quot;&quot;₩&quot;\-&quot;₩&quot;* #,##0.00_-;_-&quot;₩&quot;* &quot;-&quot;??_-;_-@_-"/>
    <numFmt numFmtId="221" formatCode="&quot;₩&quot;#,##0.00;&quot;₩&quot;&quot;₩&quot;&quot;₩&quot;&quot;₩&quot;\-#,##0.00"/>
    <numFmt numFmtId="222" formatCode="#,###,###.0"/>
    <numFmt numFmtId="223" formatCode="_ &quot;₩&quot;* #,##0_ ;_ &quot;₩&quot;* \-#,##0_ ;_ &quot;₩&quot;* &quot;-&quot;_ ;_ @_ "/>
    <numFmt numFmtId="224" formatCode="_ &quot;₩&quot;* #,##0.00_ ;_ &quot;₩&quot;* \-#,##0.00_ ;_ &quot;₩&quot;* &quot;-&quot;??_ ;_ @_ "/>
    <numFmt numFmtId="225" formatCode="&quot;SFr.&quot;#,##0.00;[Red]&quot;SFr.&quot;\-#,##0.00"/>
    <numFmt numFmtId="226" formatCode="#,##0;\(#,##0\)"/>
    <numFmt numFmtId="227" formatCode="\$#.00"/>
    <numFmt numFmtId="228" formatCode="m\o\n\th\ d\,\ yyyy"/>
    <numFmt numFmtId="229" formatCode="#,##0.0000000;[Red]\-#,##0.0000000"/>
    <numFmt numFmtId="230" formatCode="_-[$€-2]* #,##0.00_-;\-[$€-2]* #,##0.00_-;_-[$€-2]* &quot;-&quot;??_-"/>
    <numFmt numFmtId="231" formatCode="#.00"/>
    <numFmt numFmtId="232" formatCode="&quot;₩&quot;#,##0\ "/>
    <numFmt numFmtId="233" formatCode="0.0%"/>
    <numFmt numFmtId="234" formatCode="0_);[Red]\(0\)"/>
  </numFmts>
  <fonts count="15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sz val="12"/>
      <name val="???"/>
      <family val="1"/>
    </font>
    <font>
      <sz val="10"/>
      <name val="Arial"/>
      <family val="2"/>
    </font>
    <font>
      <sz val="12"/>
      <name val="Times New Roman"/>
      <family val="1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1"/>
      <charset val="129"/>
    </font>
    <font>
      <sz val="10"/>
      <name val="굴림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1"/>
      <charset val="129"/>
    </font>
    <font>
      <sz val="12"/>
      <name val="¹ÙÅÁÃ¼"/>
      <family val="3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"/>
      <color indexed="16"/>
      <name val="Courier"/>
      <family val="3"/>
    </font>
    <font>
      <sz val="12"/>
      <name val="Arial"/>
      <family val="2"/>
    </font>
    <font>
      <sz val="10"/>
      <name val="MS Serif"/>
      <family val="1"/>
    </font>
    <font>
      <sz val="11"/>
      <name val="굴림체"/>
      <family val="3"/>
      <charset val="129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"/>
      <color indexed="16"/>
      <name val="Courier"/>
      <family val="3"/>
    </font>
    <font>
      <b/>
      <i/>
      <sz val="12"/>
      <name val="Times New Roman"/>
      <family val="1"/>
    </font>
    <font>
      <b/>
      <sz val="11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u/>
      <sz val="10"/>
      <color indexed="36"/>
      <name val="Arial"/>
      <family val="2"/>
    </font>
    <font>
      <sz val="8"/>
      <name val="맑은 고딕"/>
      <family val="3"/>
      <charset val="129"/>
    </font>
    <font>
      <b/>
      <sz val="24"/>
      <name val="굴림체"/>
      <family val="3"/>
      <charset val="129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9"/>
      <name val="굴림체"/>
      <family val="3"/>
      <charset val="129"/>
    </font>
    <font>
      <sz val="9"/>
      <color indexed="12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10"/>
      <name val="굴림체"/>
      <family val="3"/>
      <charset val="129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b/>
      <sz val="9"/>
      <name val="굴림체"/>
      <family val="3"/>
      <charset val="129"/>
    </font>
    <font>
      <b/>
      <sz val="20"/>
      <name val="굴림체"/>
      <family val="3"/>
      <charset val="129"/>
    </font>
    <font>
      <b/>
      <sz val="22"/>
      <name val="굴림체"/>
      <family val="3"/>
      <charset val="129"/>
    </font>
    <font>
      <sz val="10"/>
      <color indexed="12"/>
      <name val="굴림체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20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23"/>
      <name val="굴림체"/>
      <family val="3"/>
      <charset val="129"/>
    </font>
    <font>
      <sz val="11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sz val="20"/>
      <color indexed="8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2"/>
      <color indexed="8"/>
      <name val="굴림체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20"/>
      <color indexed="8"/>
      <name val="Arial Narrow"/>
      <family val="2"/>
    </font>
    <font>
      <sz val="9"/>
      <color indexed="8"/>
      <name val="Arial Narrow"/>
      <family val="2"/>
    </font>
    <font>
      <b/>
      <sz val="9"/>
      <color indexed="8"/>
      <name val="Arial Narrow"/>
      <family val="2"/>
    </font>
    <font>
      <sz val="9"/>
      <name val="Arial Narrow"/>
      <family val="2"/>
    </font>
    <font>
      <sz val="9"/>
      <color indexed="23"/>
      <name val="Arial Narrow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color indexed="10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9"/>
      <color indexed="10"/>
      <name val="굴림체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7"/>
      <name val="Small Fonts"/>
      <family val="2"/>
    </font>
    <font>
      <sz val="11"/>
      <color indexed="8"/>
      <name val="맑은 고딕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맑은 고딕"/>
      <family val="3"/>
      <charset val="129"/>
    </font>
    <font>
      <sz val="9"/>
      <color indexed="8"/>
      <name val="Arial Narrow"/>
      <family val="2"/>
    </font>
    <font>
      <sz val="10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2"/>
      <name val="¹UAAA¼"/>
      <family val="1"/>
      <charset val="129"/>
    </font>
    <font>
      <sz val="8"/>
      <name val="¹UAAA¼"/>
      <family val="1"/>
      <charset val="129"/>
    </font>
    <font>
      <sz val="12"/>
      <name val="뼻뮝"/>
      <family val="3"/>
      <charset val="129"/>
    </font>
    <font>
      <u/>
      <sz val="13.2"/>
      <color indexed="36"/>
      <name val="돋움"/>
      <family val="3"/>
      <charset val="129"/>
    </font>
    <font>
      <sz val="12"/>
      <name val="돋움체"/>
      <family val="3"/>
      <charset val="129"/>
    </font>
    <font>
      <sz val="10"/>
      <name val="Times New Roman"/>
      <family val="1"/>
    </font>
    <font>
      <i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2"/>
      <name val="명조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name val="돋움체"/>
      <family val="3"/>
      <charset val="129"/>
    </font>
    <font>
      <sz val="10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name val="Courier New"/>
      <family val="3"/>
    </font>
    <font>
      <sz val="8"/>
      <name val="돋움체"/>
      <family val="3"/>
      <charset val="129"/>
    </font>
    <font>
      <u/>
      <sz val="8"/>
      <color indexed="36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μ¸¿oA¼"/>
      <family val="3"/>
      <charset val="129"/>
    </font>
    <font>
      <sz val="10"/>
      <name val="바탕체"/>
      <family val="1"/>
      <charset val="129"/>
    </font>
    <font>
      <sz val="22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color theme="1"/>
      <name val="굴림체"/>
      <family val="3"/>
      <charset val="129"/>
    </font>
    <font>
      <b/>
      <sz val="20"/>
      <color theme="1"/>
      <name val="굴림체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9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4"/>
      <name val="굴림체"/>
      <family val="3"/>
      <charset val="129"/>
    </font>
    <font>
      <sz val="14"/>
      <name val="굴림체"/>
      <family val="3"/>
      <charset val="129"/>
    </font>
    <font>
      <b/>
      <sz val="12"/>
      <name val="굴림체"/>
      <family val="3"/>
      <charset val="129"/>
    </font>
    <font>
      <sz val="14"/>
      <color indexed="8"/>
      <name val="굴림체"/>
      <family val="3"/>
      <charset val="129"/>
    </font>
    <font>
      <sz val="14"/>
      <color theme="1"/>
      <name val="굴림체"/>
      <family val="3"/>
      <charset val="129"/>
    </font>
    <font>
      <b/>
      <sz val="9"/>
      <color indexed="81"/>
      <name val="돋움"/>
      <family val="3"/>
      <charset val="129"/>
    </font>
    <font>
      <b/>
      <sz val="8"/>
      <name val="굴림체"/>
      <family val="3"/>
      <charset val="129"/>
    </font>
    <font>
      <b/>
      <sz val="9"/>
      <color theme="1"/>
      <name val="굴림체"/>
      <family val="3"/>
      <charset val="129"/>
    </font>
  </fonts>
  <fills count="5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53">
    <border>
      <left/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2791">
    <xf numFmtId="0" fontId="0" fillId="0" borderId="0">
      <alignment vertical="center"/>
    </xf>
    <xf numFmtId="213" fontId="9" fillId="0" borderId="1" applyBorder="0">
      <alignment horizontal="center"/>
    </xf>
    <xf numFmtId="10" fontId="9" fillId="0" borderId="1" applyBorder="0">
      <alignment horizontal="center"/>
    </xf>
    <xf numFmtId="0" fontId="9" fillId="0" borderId="0"/>
    <xf numFmtId="3" fontId="101" fillId="0" borderId="2"/>
    <xf numFmtId="0" fontId="95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quotePrefix="1"/>
    <xf numFmtId="0" fontId="11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/>
    <xf numFmtId="3" fontId="101" fillId="0" borderId="2"/>
    <xf numFmtId="3" fontId="101" fillId="0" borderId="2"/>
    <xf numFmtId="3" fontId="111" fillId="0" borderId="3">
      <alignment horizontal="right" vertical="center"/>
    </xf>
    <xf numFmtId="2" fontId="111" fillId="0" borderId="3">
      <alignment horizontal="right"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17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18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25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223" fontId="97" fillId="0" borderId="0" applyFont="0" applyFill="0" applyBorder="0" applyAlignment="0" applyProtection="0"/>
    <xf numFmtId="0" fontId="21" fillId="0" borderId="0" applyFont="0" applyFill="0" applyBorder="0" applyAlignment="0" applyProtection="0"/>
    <xf numFmtId="37" fontId="20" fillId="0" borderId="0" applyFont="0" applyFill="0" applyBorder="0" applyAlignment="0" applyProtection="0"/>
    <xf numFmtId="224" fontId="97" fillId="0" borderId="0" applyFont="0" applyFill="0" applyBorder="0" applyAlignment="0" applyProtection="0"/>
    <xf numFmtId="0" fontId="21" fillId="0" borderId="0" applyFont="0" applyFill="0" applyBorder="0" applyAlignment="0" applyProtection="0"/>
    <xf numFmtId="37" fontId="20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2" fillId="0" borderId="0"/>
    <xf numFmtId="224" fontId="115" fillId="0" borderId="0" applyFont="0" applyFill="0" applyBorder="0" applyAlignment="0" applyProtection="0"/>
    <xf numFmtId="0" fontId="21" fillId="0" borderId="0" applyFont="0" applyFill="0" applyBorder="0" applyAlignment="0" applyProtection="0"/>
    <xf numFmtId="37" fontId="20" fillId="0" borderId="0" applyFont="0" applyFill="0" applyBorder="0" applyAlignment="0" applyProtection="0"/>
    <xf numFmtId="189" fontId="97" fillId="0" borderId="0" applyFont="0" applyFill="0" applyBorder="0" applyAlignment="0" applyProtection="0"/>
    <xf numFmtId="0" fontId="21" fillId="0" borderId="0" applyFont="0" applyFill="0" applyBorder="0" applyAlignment="0" applyProtection="0"/>
    <xf numFmtId="37" fontId="20" fillId="0" borderId="0" applyFont="0" applyFill="0" applyBorder="0" applyAlignment="0" applyProtection="0"/>
    <xf numFmtId="0" fontId="23" fillId="0" borderId="0"/>
    <xf numFmtId="0" fontId="98" fillId="0" borderId="0"/>
    <xf numFmtId="0" fontId="6" fillId="0" borderId="0" applyFill="0" applyBorder="0" applyAlignment="0"/>
    <xf numFmtId="225" fontId="116" fillId="0" borderId="0" applyFill="0" applyBorder="0" applyAlignment="0"/>
    <xf numFmtId="0" fontId="24" fillId="0" borderId="0"/>
    <xf numFmtId="0" fontId="12" fillId="0" borderId="0"/>
    <xf numFmtId="0" fontId="25" fillId="0" borderId="0" applyNumberFormat="0" applyFill="0" applyBorder="0" applyAlignment="0" applyProtection="0">
      <alignment vertical="top"/>
      <protection locked="0"/>
    </xf>
    <xf numFmtId="190" fontId="26" fillId="0" borderId="0">
      <protection locked="0"/>
    </xf>
    <xf numFmtId="191" fontId="27" fillId="0" borderId="0" applyFont="0" applyFill="0" applyBorder="0" applyAlignment="0" applyProtection="0"/>
    <xf numFmtId="0" fontId="22" fillId="0" borderId="0" applyFont="0" applyFill="0" applyBorder="0" applyAlignment="0" applyProtection="0"/>
    <xf numFmtId="188" fontId="12" fillId="0" borderId="0" applyFont="0" applyFill="0" applyBorder="0" applyAlignment="0" applyProtection="0"/>
    <xf numFmtId="4" fontId="15" fillId="0" borderId="0">
      <protection locked="0"/>
    </xf>
    <xf numFmtId="4" fontId="15" fillId="0" borderId="0">
      <protection locked="0"/>
    </xf>
    <xf numFmtId="4" fontId="15" fillId="0" borderId="0">
      <protection locked="0"/>
    </xf>
    <xf numFmtId="4" fontId="15" fillId="0" borderId="0">
      <protection locked="0"/>
    </xf>
    <xf numFmtId="4" fontId="15" fillId="0" borderId="0">
      <protection locked="0"/>
    </xf>
    <xf numFmtId="4" fontId="15" fillId="0" borderId="0">
      <protection locked="0"/>
    </xf>
    <xf numFmtId="192" fontId="6" fillId="0" borderId="0"/>
    <xf numFmtId="214" fontId="10" fillId="0" borderId="0"/>
    <xf numFmtId="226" fontId="102" fillId="0" borderId="0"/>
    <xf numFmtId="0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9" fillId="0" borderId="0" applyFont="0" applyFill="0" applyBorder="0" applyAlignment="0" applyProtection="0"/>
    <xf numFmtId="190" fontId="26" fillId="0" borderId="0">
      <protection locked="0"/>
    </xf>
    <xf numFmtId="0" fontId="27" fillId="0" borderId="0" applyFont="0" applyFill="0" applyBorder="0" applyAlignment="0" applyProtection="0"/>
    <xf numFmtId="0" fontId="22" fillId="0" borderId="0" applyFont="0" applyFill="0" applyBorder="0" applyAlignment="0" applyProtection="0"/>
    <xf numFmtId="212" fontId="6" fillId="0" borderId="0" applyFon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227" fontId="15" fillId="0" borderId="0">
      <protection locked="0"/>
    </xf>
    <xf numFmtId="227" fontId="15" fillId="0" borderId="0">
      <protection locked="0"/>
    </xf>
    <xf numFmtId="0" fontId="29" fillId="0" borderId="0" applyFont="0" applyFill="0" applyBorder="0" applyAlignment="0" applyProtection="0"/>
    <xf numFmtId="193" fontId="6" fillId="0" borderId="0" applyFont="0" applyFill="0" applyBorder="0" applyAlignment="0" applyProtection="0"/>
    <xf numFmtId="0" fontId="6" fillId="0" borderId="0"/>
    <xf numFmtId="0" fontId="102" fillId="0" borderId="0"/>
    <xf numFmtId="190" fontId="26" fillId="0" borderId="0">
      <protection locked="0"/>
    </xf>
    <xf numFmtId="0" fontId="12" fillId="0" borderId="0" applyFont="0" applyFill="0" applyBorder="0" applyAlignment="0" applyProtection="0"/>
    <xf numFmtId="228" fontId="15" fillId="0" borderId="0">
      <protection locked="0"/>
    </xf>
    <xf numFmtId="194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196" fontId="10" fillId="0" borderId="0"/>
    <xf numFmtId="215" fontId="10" fillId="0" borderId="0"/>
    <xf numFmtId="229" fontId="12" fillId="0" borderId="0"/>
    <xf numFmtId="0" fontId="30" fillId="0" borderId="0" applyNumberFormat="0" applyAlignment="0">
      <alignment horizontal="left"/>
    </xf>
    <xf numFmtId="230" fontId="46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0" fontId="103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03" fillId="0" borderId="0">
      <protection locked="0"/>
    </xf>
    <xf numFmtId="190" fontId="26" fillId="0" borderId="0">
      <protection locked="0"/>
    </xf>
    <xf numFmtId="2" fontId="12" fillId="0" borderId="0" applyFont="0" applyFill="0" applyBorder="0" applyAlignment="0" applyProtection="0"/>
    <xf numFmtId="231" fontId="15" fillId="0" borderId="0">
      <protection locked="0"/>
    </xf>
    <xf numFmtId="38" fontId="31" fillId="10" borderId="0" applyNumberFormat="0" applyBorder="0" applyAlignment="0" applyProtection="0"/>
    <xf numFmtId="38" fontId="31" fillId="11" borderId="0" applyNumberFormat="0" applyBorder="0" applyAlignment="0" applyProtection="0"/>
    <xf numFmtId="3" fontId="116" fillId="0" borderId="4">
      <alignment horizontal="right" vertical="center"/>
    </xf>
    <xf numFmtId="4" fontId="116" fillId="0" borderId="4">
      <alignment horizontal="right" vertical="center"/>
    </xf>
    <xf numFmtId="0" fontId="32" fillId="0" borderId="0">
      <alignment horizontal="left"/>
    </xf>
    <xf numFmtId="0" fontId="33" fillId="0" borderId="5" applyNumberFormat="0" applyAlignment="0" applyProtection="0">
      <alignment horizontal="left" vertical="center"/>
    </xf>
    <xf numFmtId="0" fontId="33" fillId="0" borderId="6">
      <alignment horizontal="left" vertical="center"/>
    </xf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90" fontId="35" fillId="0" borderId="0">
      <protection locked="0"/>
    </xf>
    <xf numFmtId="190" fontId="14" fillId="0" borderId="0">
      <protection locked="0"/>
    </xf>
    <xf numFmtId="190" fontId="35" fillId="0" borderId="0">
      <protection locked="0"/>
    </xf>
    <xf numFmtId="190" fontId="14" fillId="0" borderId="0">
      <protection locked="0"/>
    </xf>
    <xf numFmtId="0" fontId="104" fillId="0" borderId="0" applyNumberFormat="0" applyFill="0" applyBorder="0" applyAlignment="0" applyProtection="0"/>
    <xf numFmtId="10" fontId="31" fillId="10" borderId="2" applyNumberFormat="0" applyBorder="0" applyAlignment="0" applyProtection="0"/>
    <xf numFmtId="10" fontId="31" fillId="10" borderId="2" applyNumberFormat="0" applyBorder="0" applyAlignment="0" applyProtection="0"/>
    <xf numFmtId="10" fontId="31" fillId="12" borderId="2" applyNumberFormat="0" applyBorder="0" applyAlignment="0" applyProtection="0"/>
    <xf numFmtId="197" fontId="36" fillId="0" borderId="0">
      <alignment horizontal="left"/>
    </xf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37" fillId="0" borderId="7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37" fontId="86" fillId="0" borderId="0"/>
    <xf numFmtId="0" fontId="12" fillId="0" borderId="0" applyNumberFormat="0" applyFill="0" applyBorder="0" applyAlignment="0" applyProtection="0"/>
    <xf numFmtId="0" fontId="10" fillId="0" borderId="0"/>
    <xf numFmtId="0" fontId="6" fillId="0" borderId="0"/>
    <xf numFmtId="232" fontId="6" fillId="0" borderId="0"/>
    <xf numFmtId="0" fontId="10" fillId="0" borderId="0"/>
    <xf numFmtId="0" fontId="12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0" fontId="26" fillId="0" borderId="0">
      <protection locked="0"/>
    </xf>
    <xf numFmtId="10" fontId="12" fillId="0" borderId="0" applyFon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216" fontId="15" fillId="0" borderId="0">
      <protection locked="0"/>
    </xf>
    <xf numFmtId="216" fontId="15" fillId="0" borderId="0">
      <protection locked="0"/>
    </xf>
    <xf numFmtId="0" fontId="15" fillId="0" borderId="0">
      <protection locked="0"/>
    </xf>
    <xf numFmtId="30" fontId="38" fillId="0" borderId="0" applyNumberFormat="0" applyFill="0" applyBorder="0" applyAlignment="0" applyProtection="0">
      <alignment horizontal="left"/>
    </xf>
    <xf numFmtId="0" fontId="12" fillId="0" borderId="0"/>
    <xf numFmtId="0" fontId="37" fillId="0" borderId="0"/>
    <xf numFmtId="40" fontId="39" fillId="0" borderId="0" applyBorder="0">
      <alignment horizontal="right"/>
    </xf>
    <xf numFmtId="198" fontId="40" fillId="0" borderId="0">
      <alignment horizontal="center"/>
    </xf>
    <xf numFmtId="0" fontId="50" fillId="0" borderId="0" applyFill="0" applyBorder="0" applyProtection="0">
      <alignment horizontal="centerContinuous" vertical="center"/>
    </xf>
    <xf numFmtId="0" fontId="51" fillId="10" borderId="0" applyFill="0" applyBorder="0" applyProtection="0">
      <alignment horizontal="center" vertical="center"/>
    </xf>
    <xf numFmtId="190" fontId="26" fillId="0" borderId="8">
      <protection locked="0"/>
    </xf>
    <xf numFmtId="0" fontId="12" fillId="0" borderId="9" applyNumberFormat="0" applyFont="0" applyFill="0" applyAlignment="0" applyProtection="0"/>
    <xf numFmtId="190" fontId="15" fillId="0" borderId="8">
      <protection locked="0"/>
    </xf>
    <xf numFmtId="199" fontId="12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0" fontId="124" fillId="41" borderId="71" applyNumberFormat="0" applyAlignment="0" applyProtection="0">
      <alignment vertical="center"/>
    </xf>
    <xf numFmtId="177" fontId="6" fillId="0" borderId="0">
      <protection locked="0"/>
    </xf>
    <xf numFmtId="217" fontId="10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05" fillId="0" borderId="0"/>
    <xf numFmtId="193" fontId="29" fillId="0" borderId="2">
      <alignment horizontal="right" vertical="center" shrinkToFit="1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5" fillId="0" borderId="0">
      <protection locked="0"/>
    </xf>
    <xf numFmtId="3" fontId="22" fillId="0" borderId="11">
      <alignment horizontal="center"/>
    </xf>
    <xf numFmtId="3" fontId="8" fillId="0" borderId="12" applyNumberFormat="0" applyFill="0" applyBorder="0" applyProtection="0">
      <alignment horizontal="center" vertical="center"/>
    </xf>
    <xf numFmtId="0" fontId="15" fillId="0" borderId="0">
      <protection locked="0"/>
    </xf>
    <xf numFmtId="0" fontId="9" fillId="0" borderId="0"/>
    <xf numFmtId="0" fontId="94" fillId="6" borderId="10" applyNumberFormat="0" applyAlignment="0" applyProtection="0">
      <alignment vertical="center"/>
    </xf>
    <xf numFmtId="0" fontId="92" fillId="9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92" fillId="9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top"/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57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84" fillId="43" borderId="72" applyNumberFormat="0" applyFont="0" applyAlignment="0" applyProtection="0">
      <alignment vertical="center"/>
    </xf>
    <xf numFmtId="0" fontId="85" fillId="43" borderId="72" applyNumberFormat="0" applyFont="0" applyAlignment="0" applyProtection="0">
      <alignment vertical="center"/>
    </xf>
    <xf numFmtId="0" fontId="3" fillId="43" borderId="72" applyNumberFormat="0" applyFont="0" applyAlignment="0" applyProtection="0">
      <alignment vertical="center"/>
    </xf>
    <xf numFmtId="0" fontId="119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4" fillId="43" borderId="72" applyNumberFormat="0" applyFont="0" applyAlignment="0" applyProtection="0">
      <alignment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9" fontId="57" fillId="0" borderId="0" applyFont="0" applyFill="0" applyBorder="0" applyAlignment="0" applyProtection="0">
      <alignment vertical="center"/>
    </xf>
    <xf numFmtId="9" fontId="29" fillId="10" borderId="0" applyFill="0" applyBorder="0" applyProtection="0">
      <alignment horizontal="right"/>
    </xf>
    <xf numFmtId="10" fontId="29" fillId="0" borderId="0" applyFill="0" applyBorder="0" applyProtection="0">
      <alignment horizontal="right"/>
    </xf>
    <xf numFmtId="9" fontId="9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99" fillId="0" borderId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28" fillId="45" borderId="73" applyNumberFormat="0" applyAlignment="0" applyProtection="0">
      <alignment vertical="center"/>
    </xf>
    <xf numFmtId="0" fontId="112" fillId="0" borderId="0">
      <alignment vertical="center"/>
    </xf>
    <xf numFmtId="178" fontId="6" fillId="0" borderId="0">
      <alignment vertical="center"/>
    </xf>
    <xf numFmtId="180" fontId="106" fillId="0" borderId="0">
      <alignment vertical="center"/>
    </xf>
    <xf numFmtId="41" fontId="57" fillId="0" borderId="0" applyFont="0" applyFill="0" applyBorder="0" applyAlignment="0" applyProtection="0">
      <alignment vertical="center"/>
    </xf>
    <xf numFmtId="41" fontId="7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6" fillId="0" borderId="0"/>
    <xf numFmtId="0" fontId="9" fillId="0" borderId="0" applyFont="0" applyFill="0" applyBorder="0" applyAlignment="0" applyProtection="0"/>
    <xf numFmtId="0" fontId="12" fillId="0" borderId="0"/>
    <xf numFmtId="0" fontId="107" fillId="0" borderId="13"/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29" fillId="0" borderId="7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top"/>
      <protection locked="0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130" fillId="0" borderId="75" applyNumberFormat="0" applyFill="0" applyAlignment="0" applyProtection="0">
      <alignment vertical="center"/>
    </xf>
    <xf numFmtId="0" fontId="55" fillId="0" borderId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0" fontId="131" fillId="46" borderId="71" applyNumberFormat="0" applyAlignment="0" applyProtection="0">
      <alignment vertical="center"/>
    </xf>
    <xf numFmtId="4" fontId="15" fillId="0" borderId="0">
      <protection locked="0"/>
    </xf>
    <xf numFmtId="179" fontId="6" fillId="0" borderId="0">
      <protection locked="0"/>
    </xf>
    <xf numFmtId="218" fontId="10" fillId="0" borderId="0">
      <protection locked="0"/>
    </xf>
    <xf numFmtId="0" fontId="132" fillId="0" borderId="0" applyNumberFormat="0" applyFill="0" applyBorder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3" fillId="0" borderId="76" applyNumberFormat="0" applyFill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4" fillId="0" borderId="77" applyNumberFormat="0" applyFill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5" fillId="0" borderId="78" applyNumberFormat="0" applyFill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0" fillId="0" borderId="2">
      <alignment horizontal="distributed" vertical="center"/>
    </xf>
    <xf numFmtId="0" fontId="10" fillId="0" borderId="14">
      <alignment horizontal="distributed" vertical="top"/>
    </xf>
    <xf numFmtId="0" fontId="10" fillId="0" borderId="15">
      <alignment horizontal="distributed"/>
    </xf>
    <xf numFmtId="188" fontId="114" fillId="0" borderId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0" fillId="0" borderId="0"/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0" fontId="137" fillId="41" borderId="79" applyNumberFormat="0" applyAlignment="0" applyProtection="0">
      <alignment vertical="center"/>
    </xf>
    <xf numFmtId="180" fontId="17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/>
    <xf numFmtId="204" fontId="6" fillId="10" borderId="0" applyFill="0" applyBorder="0" applyProtection="0">
      <alignment horizontal="right"/>
    </xf>
    <xf numFmtId="222" fontId="112" fillId="10" borderId="0" applyFill="0" applyBorder="0" applyProtection="0">
      <alignment horizontal="right"/>
    </xf>
    <xf numFmtId="181" fontId="9" fillId="0" borderId="0" applyFont="0" applyFill="0" applyBorder="0" applyAlignment="0" applyProtection="0">
      <alignment textRotation="255"/>
    </xf>
    <xf numFmtId="182" fontId="9" fillId="0" borderId="0" applyFont="0" applyFill="0" applyBorder="0" applyAlignment="0" applyProtection="0">
      <alignment textRotation="255"/>
    </xf>
    <xf numFmtId="207" fontId="108" fillId="0" borderId="2">
      <alignment vertical="center"/>
    </xf>
    <xf numFmtId="183" fontId="9" fillId="0" borderId="0" applyFont="0" applyFill="0" applyBorder="0" applyAlignment="0" applyProtection="0">
      <alignment textRotation="255"/>
    </xf>
    <xf numFmtId="184" fontId="9" fillId="0" borderId="0" applyFont="0" applyFill="0" applyBorder="0" applyAlignment="0" applyProtection="0">
      <alignment textRotation="255"/>
    </xf>
    <xf numFmtId="0" fontId="10" fillId="0" borderId="0" applyFont="0" applyFill="0" applyBorder="0" applyAlignment="0" applyProtection="0"/>
    <xf numFmtId="185" fontId="6" fillId="0" borderId="0">
      <protection locked="0"/>
    </xf>
    <xf numFmtId="219" fontId="10" fillId="0" borderId="0">
      <protection locked="0"/>
    </xf>
    <xf numFmtId="0" fontId="109" fillId="0" borderId="16">
      <alignment horizontal="center" vertical="center"/>
    </xf>
    <xf numFmtId="0" fontId="109" fillId="0" borderId="16">
      <alignment horizontal="left" vertical="center"/>
    </xf>
    <xf numFmtId="0" fontId="109" fillId="0" borderId="16">
      <alignment vertical="center" textRotation="255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21" fillId="0" borderId="0">
      <alignment vertical="center"/>
    </xf>
    <xf numFmtId="0" fontId="138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6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6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38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38" fillId="0" borderId="0">
      <alignment vertical="center"/>
    </xf>
    <xf numFmtId="0" fontId="121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6" fillId="0" borderId="0"/>
    <xf numFmtId="0" fontId="10" fillId="0" borderId="0"/>
    <xf numFmtId="0" fontId="110" fillId="0" borderId="0" applyNumberFormat="0" applyFill="0" applyBorder="0" applyAlignment="0" applyProtection="0">
      <alignment vertical="top"/>
      <protection locked="0"/>
    </xf>
    <xf numFmtId="0" fontId="15" fillId="0" borderId="9">
      <protection locked="0"/>
    </xf>
    <xf numFmtId="186" fontId="6" fillId="0" borderId="0">
      <protection locked="0"/>
    </xf>
    <xf numFmtId="220" fontId="10" fillId="0" borderId="0">
      <protection locked="0"/>
    </xf>
    <xf numFmtId="187" fontId="6" fillId="0" borderId="0">
      <protection locked="0"/>
    </xf>
    <xf numFmtId="221" fontId="10" fillId="0" borderId="0">
      <protection locked="0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12">
    <xf numFmtId="0" fontId="0" fillId="0" borderId="0" xfId="0">
      <alignment vertical="center"/>
    </xf>
    <xf numFmtId="0" fontId="58" fillId="0" borderId="0" xfId="2557" applyFont="1">
      <alignment vertical="center"/>
    </xf>
    <xf numFmtId="0" fontId="58" fillId="0" borderId="2" xfId="2557" applyFont="1" applyBorder="1">
      <alignment vertical="center"/>
    </xf>
    <xf numFmtId="0" fontId="58" fillId="0" borderId="2" xfId="2557" applyFont="1" applyBorder="1" applyAlignment="1">
      <alignment horizontal="center" vertical="center"/>
    </xf>
    <xf numFmtId="0" fontId="29" fillId="10" borderId="0" xfId="2564" applyFill="1" applyAlignment="1">
      <alignment vertical="center"/>
    </xf>
    <xf numFmtId="0" fontId="43" fillId="10" borderId="0" xfId="2564" applyNumberFormat="1" applyFont="1" applyFill="1" applyAlignment="1" applyProtection="1">
      <alignment vertical="center"/>
      <protection locked="0"/>
    </xf>
    <xf numFmtId="0" fontId="43" fillId="10" borderId="0" xfId="2564" applyNumberFormat="1" applyFont="1" applyFill="1" applyBorder="1" applyAlignment="1" applyProtection="1">
      <alignment vertical="center"/>
      <protection locked="0"/>
    </xf>
    <xf numFmtId="0" fontId="9" fillId="10" borderId="2" xfId="2564" applyFont="1" applyFill="1" applyBorder="1" applyAlignment="1">
      <alignment horizontal="center" vertical="center"/>
    </xf>
    <xf numFmtId="0" fontId="29" fillId="10" borderId="0" xfId="2564" applyFill="1" applyAlignment="1">
      <alignment horizontal="center" vertical="center"/>
    </xf>
    <xf numFmtId="0" fontId="9" fillId="10" borderId="17" xfId="2564" applyFont="1" applyFill="1" applyBorder="1" applyAlignment="1">
      <alignment horizontal="center" vertical="center"/>
    </xf>
    <xf numFmtId="3" fontId="46" fillId="10" borderId="2" xfId="2564" applyNumberFormat="1" applyFont="1" applyFill="1" applyBorder="1" applyAlignment="1">
      <alignment vertical="center"/>
    </xf>
    <xf numFmtId="3" fontId="9" fillId="10" borderId="2" xfId="2564" applyNumberFormat="1" applyFont="1" applyFill="1" applyBorder="1" applyAlignment="1">
      <alignment vertical="center"/>
    </xf>
    <xf numFmtId="0" fontId="9" fillId="10" borderId="0" xfId="2564" applyFont="1" applyFill="1" applyAlignment="1">
      <alignment vertical="center"/>
    </xf>
    <xf numFmtId="3" fontId="46" fillId="10" borderId="15" xfId="2564" applyNumberFormat="1" applyFont="1" applyFill="1" applyBorder="1" applyAlignment="1">
      <alignment vertical="center"/>
    </xf>
    <xf numFmtId="3" fontId="47" fillId="10" borderId="2" xfId="2564" applyNumberFormat="1" applyFont="1" applyFill="1" applyBorder="1" applyAlignment="1">
      <alignment vertical="center"/>
    </xf>
    <xf numFmtId="3" fontId="48" fillId="10" borderId="2" xfId="2564" applyNumberFormat="1" applyFont="1" applyFill="1" applyBorder="1" applyAlignment="1">
      <alignment vertical="center"/>
    </xf>
    <xf numFmtId="3" fontId="49" fillId="10" borderId="2" xfId="2564" applyNumberFormat="1" applyFont="1" applyFill="1" applyBorder="1" applyAlignment="1">
      <alignment vertical="center"/>
    </xf>
    <xf numFmtId="0" fontId="29" fillId="10" borderId="2" xfId="2564" applyFill="1" applyBorder="1" applyAlignment="1">
      <alignment vertical="center"/>
    </xf>
    <xf numFmtId="0" fontId="45" fillId="10" borderId="0" xfId="2564" applyFont="1" applyFill="1" applyBorder="1" applyAlignment="1">
      <alignment horizontal="center" vertical="center"/>
    </xf>
    <xf numFmtId="3" fontId="46" fillId="10" borderId="0" xfId="2564" applyNumberFormat="1" applyFont="1" applyFill="1" applyBorder="1" applyAlignment="1">
      <alignment vertical="center"/>
    </xf>
    <xf numFmtId="3" fontId="46" fillId="10" borderId="18" xfId="2564" applyNumberFormat="1" applyFont="1" applyFill="1" applyBorder="1" applyAlignment="1">
      <alignment vertical="center"/>
    </xf>
    <xf numFmtId="0" fontId="29" fillId="10" borderId="18" xfId="2564" applyFill="1" applyBorder="1" applyAlignment="1">
      <alignment vertical="center"/>
    </xf>
    <xf numFmtId="3" fontId="29" fillId="10" borderId="0" xfId="2564" applyNumberFormat="1" applyFill="1" applyAlignment="1">
      <alignment vertical="center"/>
    </xf>
    <xf numFmtId="3" fontId="9" fillId="10" borderId="0" xfId="2564" applyNumberFormat="1" applyFont="1" applyFill="1" applyAlignment="1">
      <alignment vertical="center"/>
    </xf>
    <xf numFmtId="3" fontId="46" fillId="10" borderId="0" xfId="2564" applyNumberFormat="1" applyFont="1" applyFill="1" applyAlignment="1">
      <alignment vertical="center"/>
    </xf>
    <xf numFmtId="205" fontId="46" fillId="10" borderId="0" xfId="2564" applyNumberFormat="1" applyFont="1" applyFill="1" applyAlignment="1">
      <alignment vertical="center"/>
    </xf>
    <xf numFmtId="205" fontId="29" fillId="10" borderId="0" xfId="2564" applyNumberFormat="1" applyFill="1" applyAlignment="1">
      <alignment vertical="center"/>
    </xf>
    <xf numFmtId="0" fontId="46" fillId="10" borderId="0" xfId="2564" applyFont="1" applyFill="1" applyAlignment="1">
      <alignment vertical="center"/>
    </xf>
    <xf numFmtId="0" fontId="46" fillId="10" borderId="0" xfId="2564" applyFont="1" applyFill="1" applyBorder="1" applyAlignment="1">
      <alignment vertical="center"/>
    </xf>
    <xf numFmtId="0" fontId="44" fillId="10" borderId="0" xfId="2564" applyFont="1" applyFill="1" applyBorder="1" applyAlignment="1">
      <alignment vertical="center"/>
    </xf>
    <xf numFmtId="0" fontId="29" fillId="10" borderId="0" xfId="2564" applyFont="1" applyFill="1" applyBorder="1" applyAlignment="1">
      <alignment vertical="center"/>
    </xf>
    <xf numFmtId="0" fontId="46" fillId="10" borderId="0" xfId="2564" applyFont="1" applyFill="1" applyBorder="1" applyAlignment="1">
      <alignment horizontal="center" vertical="center"/>
    </xf>
    <xf numFmtId="0" fontId="46" fillId="10" borderId="0" xfId="2564" applyFont="1" applyFill="1" applyBorder="1" applyAlignment="1">
      <alignment horizontal="center" vertical="center" wrapText="1"/>
    </xf>
    <xf numFmtId="0" fontId="29" fillId="10" borderId="0" xfId="2564" applyFill="1" applyBorder="1" applyAlignment="1">
      <alignment vertical="center"/>
    </xf>
    <xf numFmtId="0" fontId="46" fillId="10" borderId="18" xfId="2564" applyFont="1" applyFill="1" applyBorder="1" applyAlignment="1">
      <alignment vertical="center"/>
    </xf>
    <xf numFmtId="0" fontId="46" fillId="10" borderId="19" xfId="2564" applyFont="1" applyFill="1" applyBorder="1" applyAlignment="1">
      <alignment vertical="center"/>
    </xf>
    <xf numFmtId="0" fontId="46" fillId="10" borderId="20" xfId="2564" applyFont="1" applyFill="1" applyBorder="1" applyAlignment="1">
      <alignment vertical="center"/>
    </xf>
    <xf numFmtId="0" fontId="46" fillId="10" borderId="12" xfId="2564" applyFont="1" applyFill="1" applyBorder="1" applyAlignment="1">
      <alignment vertical="center"/>
    </xf>
    <xf numFmtId="0" fontId="44" fillId="10" borderId="21" xfId="2564" applyFont="1" applyFill="1" applyBorder="1" applyAlignment="1">
      <alignment vertical="center"/>
    </xf>
    <xf numFmtId="0" fontId="44" fillId="10" borderId="18" xfId="2564" applyFont="1" applyFill="1" applyBorder="1" applyAlignment="1">
      <alignment vertical="center"/>
    </xf>
    <xf numFmtId="0" fontId="44" fillId="10" borderId="17" xfId="2564" applyFont="1" applyFill="1" applyBorder="1" applyAlignment="1">
      <alignment vertical="center"/>
    </xf>
    <xf numFmtId="0" fontId="44" fillId="10" borderId="20" xfId="2564" applyFont="1" applyFill="1" applyBorder="1" applyAlignment="1">
      <alignment vertical="center"/>
    </xf>
    <xf numFmtId="0" fontId="45" fillId="10" borderId="20" xfId="2564" applyFont="1" applyFill="1" applyBorder="1" applyAlignment="1">
      <alignment horizontal="center" vertical="center"/>
    </xf>
    <xf numFmtId="0" fontId="60" fillId="0" borderId="0" xfId="2557" applyFont="1">
      <alignment vertical="center"/>
    </xf>
    <xf numFmtId="0" fontId="29" fillId="10" borderId="0" xfId="2564" applyFill="1" applyBorder="1" applyAlignment="1">
      <alignment horizontal="center" vertical="center"/>
    </xf>
    <xf numFmtId="0" fontId="60" fillId="0" borderId="2" xfId="2557" applyFont="1" applyBorder="1" applyAlignment="1">
      <alignment horizontal="center" vertical="center"/>
    </xf>
    <xf numFmtId="0" fontId="60" fillId="0" borderId="2" xfId="2557" applyFont="1" applyBorder="1">
      <alignment vertical="center"/>
    </xf>
    <xf numFmtId="41" fontId="60" fillId="0" borderId="22" xfId="1958" applyFont="1" applyBorder="1" applyAlignment="1">
      <alignment horizontal="center" vertical="center" wrapText="1"/>
    </xf>
    <xf numFmtId="41" fontId="60" fillId="0" borderId="23" xfId="1958" applyFont="1" applyBorder="1" applyAlignment="1">
      <alignment horizontal="center" vertical="center" wrapText="1"/>
    </xf>
    <xf numFmtId="0" fontId="62" fillId="0" borderId="0" xfId="0" applyFont="1">
      <alignment vertical="center"/>
    </xf>
    <xf numFmtId="41" fontId="63" fillId="0" borderId="22" xfId="1958" applyFont="1" applyBorder="1" applyAlignment="1">
      <alignment horizontal="center" vertical="center" wrapText="1"/>
    </xf>
    <xf numFmtId="41" fontId="63" fillId="0" borderId="23" xfId="1958" applyFont="1" applyBorder="1" applyAlignment="1">
      <alignment horizontal="center" vertical="center" wrapText="1"/>
    </xf>
    <xf numFmtId="0" fontId="9" fillId="10" borderId="15" xfId="2564" applyFont="1" applyFill="1" applyBorder="1" applyAlignment="1">
      <alignment horizontal="center" vertical="center"/>
    </xf>
    <xf numFmtId="0" fontId="9" fillId="10" borderId="26" xfId="2564" applyFont="1" applyFill="1" applyBorder="1" applyAlignment="1">
      <alignment horizontal="center" vertical="center"/>
    </xf>
    <xf numFmtId="0" fontId="9" fillId="10" borderId="24" xfId="2564" applyFont="1" applyFill="1" applyBorder="1" applyAlignment="1">
      <alignment horizontal="center" vertical="center"/>
    </xf>
    <xf numFmtId="0" fontId="66" fillId="10" borderId="0" xfId="2564" applyNumberFormat="1" applyFont="1" applyFill="1" applyAlignment="1" applyProtection="1">
      <alignment vertical="center"/>
      <protection locked="0"/>
    </xf>
    <xf numFmtId="0" fontId="66" fillId="10" borderId="0" xfId="2564" applyNumberFormat="1" applyFont="1" applyFill="1" applyAlignment="1" applyProtection="1">
      <alignment horizontal="left" vertical="center"/>
      <protection locked="0"/>
    </xf>
    <xf numFmtId="0" fontId="65" fillId="10" borderId="0" xfId="2564" applyFont="1" applyFill="1" applyBorder="1" applyAlignment="1">
      <alignment vertical="center"/>
    </xf>
    <xf numFmtId="0" fontId="65" fillId="10" borderId="20" xfId="2564" applyFont="1" applyFill="1" applyBorder="1" applyAlignment="1">
      <alignment vertical="center"/>
    </xf>
    <xf numFmtId="0" fontId="66" fillId="10" borderId="0" xfId="2564" applyNumberFormat="1" applyFont="1" applyFill="1" applyAlignment="1" applyProtection="1">
      <alignment horizontal="right" vertical="center"/>
      <protection locked="0"/>
    </xf>
    <xf numFmtId="0" fontId="29" fillId="10" borderId="20" xfId="2564" applyFill="1" applyBorder="1" applyAlignment="1">
      <alignment horizontal="center" vertical="center"/>
    </xf>
    <xf numFmtId="0" fontId="43" fillId="10" borderId="0" xfId="2564" applyNumberFormat="1" applyFont="1" applyFill="1" applyAlignment="1" applyProtection="1">
      <alignment horizontal="left" vertical="center"/>
      <protection locked="0"/>
    </xf>
    <xf numFmtId="0" fontId="9" fillId="10" borderId="2" xfId="2564" applyFont="1" applyFill="1" applyBorder="1" applyAlignment="1">
      <alignment vertical="center"/>
    </xf>
    <xf numFmtId="0" fontId="9" fillId="10" borderId="14" xfId="2564" applyFont="1" applyFill="1" applyBorder="1" applyAlignment="1">
      <alignment vertical="center"/>
    </xf>
    <xf numFmtId="3" fontId="9" fillId="10" borderId="14" xfId="2564" applyNumberFormat="1" applyFont="1" applyFill="1" applyBorder="1" applyAlignment="1">
      <alignment vertical="center"/>
    </xf>
    <xf numFmtId="0" fontId="45" fillId="10" borderId="0" xfId="2564" applyFont="1" applyFill="1" applyAlignment="1">
      <alignment vertical="center"/>
    </xf>
    <xf numFmtId="3" fontId="29" fillId="10" borderId="0" xfId="2564" applyNumberFormat="1" applyFont="1" applyFill="1" applyAlignment="1">
      <alignment vertical="center"/>
    </xf>
    <xf numFmtId="205" fontId="9" fillId="10" borderId="0" xfId="2564" applyNumberFormat="1" applyFont="1" applyFill="1" applyAlignment="1">
      <alignment vertical="center"/>
    </xf>
    <xf numFmtId="204" fontId="29" fillId="10" borderId="0" xfId="2564" applyNumberFormat="1" applyFill="1" applyAlignment="1">
      <alignment vertical="center"/>
    </xf>
    <xf numFmtId="3" fontId="29" fillId="10" borderId="27" xfId="2564" applyNumberFormat="1" applyFill="1" applyBorder="1" applyAlignment="1">
      <alignment vertical="center"/>
    </xf>
    <xf numFmtId="3" fontId="29" fillId="10" borderId="6" xfId="2564" applyNumberFormat="1" applyFill="1" applyBorder="1" applyAlignment="1">
      <alignment vertical="center"/>
    </xf>
    <xf numFmtId="3" fontId="29" fillId="10" borderId="28" xfId="2564" applyNumberFormat="1" applyFill="1" applyBorder="1" applyAlignment="1">
      <alignment vertical="center"/>
    </xf>
    <xf numFmtId="41" fontId="9" fillId="10" borderId="14" xfId="1958" applyFont="1" applyFill="1" applyBorder="1" applyAlignment="1">
      <alignment vertical="center"/>
    </xf>
    <xf numFmtId="41" fontId="9" fillId="10" borderId="2" xfId="1958" applyFont="1" applyFill="1" applyBorder="1" applyAlignment="1">
      <alignment vertical="center"/>
    </xf>
    <xf numFmtId="41" fontId="9" fillId="10" borderId="15" xfId="1958" applyFont="1" applyFill="1" applyBorder="1" applyAlignment="1">
      <alignment vertical="center"/>
    </xf>
    <xf numFmtId="41" fontId="9" fillId="10" borderId="27" xfId="1958" applyFont="1" applyFill="1" applyBorder="1" applyAlignment="1">
      <alignment vertical="center"/>
    </xf>
    <xf numFmtId="41" fontId="55" fillId="10" borderId="2" xfId="1958" applyFont="1" applyFill="1" applyBorder="1" applyAlignment="1">
      <alignment vertical="center"/>
    </xf>
    <xf numFmtId="41" fontId="9" fillId="10" borderId="17" xfId="1958" applyFont="1" applyFill="1" applyBorder="1" applyAlignment="1">
      <alignment vertical="center"/>
    </xf>
    <xf numFmtId="3" fontId="52" fillId="10" borderId="14" xfId="2564" applyNumberFormat="1" applyFont="1" applyFill="1" applyBorder="1" applyAlignment="1">
      <alignment horizontal="right" vertical="center"/>
    </xf>
    <xf numFmtId="0" fontId="9" fillId="10" borderId="29" xfId="2564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7" fillId="0" borderId="0" xfId="0" applyFont="1">
      <alignment vertical="center"/>
    </xf>
    <xf numFmtId="0" fontId="51" fillId="0" borderId="0" xfId="0" applyFont="1">
      <alignment vertical="center"/>
    </xf>
    <xf numFmtId="0" fontId="44" fillId="10" borderId="30" xfId="2564" applyFont="1" applyFill="1" applyBorder="1" applyAlignment="1">
      <alignment vertical="center"/>
    </xf>
    <xf numFmtId="0" fontId="44" fillId="10" borderId="2" xfId="2564" applyFont="1" applyFill="1" applyBorder="1" applyAlignment="1">
      <alignment vertical="center"/>
    </xf>
    <xf numFmtId="41" fontId="9" fillId="10" borderId="30" xfId="2564" applyNumberFormat="1" applyFont="1" applyFill="1" applyBorder="1" applyAlignment="1">
      <alignment vertical="center"/>
    </xf>
    <xf numFmtId="41" fontId="9" fillId="10" borderId="2" xfId="2564" applyNumberFormat="1" applyFont="1" applyFill="1" applyBorder="1" applyAlignment="1">
      <alignment vertical="center"/>
    </xf>
    <xf numFmtId="0" fontId="60" fillId="14" borderId="0" xfId="2557" applyFont="1" applyFill="1">
      <alignment vertical="center"/>
    </xf>
    <xf numFmtId="41" fontId="60" fillId="0" borderId="31" xfId="1958" applyFont="1" applyBorder="1" applyAlignment="1">
      <alignment horizontal="center" vertical="center" wrapText="1"/>
    </xf>
    <xf numFmtId="41" fontId="60" fillId="0" borderId="32" xfId="1958" applyFont="1" applyBorder="1" applyAlignment="1">
      <alignment horizontal="center" vertical="center" wrapText="1"/>
    </xf>
    <xf numFmtId="3" fontId="9" fillId="10" borderId="33" xfId="2564" applyNumberFormat="1" applyFont="1" applyFill="1" applyBorder="1" applyAlignment="1">
      <alignment vertical="center"/>
    </xf>
    <xf numFmtId="0" fontId="9" fillId="10" borderId="15" xfId="2564" applyFont="1" applyFill="1" applyBorder="1" applyAlignment="1">
      <alignment vertical="center"/>
    </xf>
    <xf numFmtId="3" fontId="9" fillId="10" borderId="15" xfId="2564" applyNumberFormat="1" applyFont="1" applyFill="1" applyBorder="1" applyAlignment="1">
      <alignment vertical="center"/>
    </xf>
    <xf numFmtId="41" fontId="44" fillId="10" borderId="14" xfId="2564" applyNumberFormat="1" applyFont="1" applyFill="1" applyBorder="1" applyAlignment="1">
      <alignment vertical="center"/>
    </xf>
    <xf numFmtId="0" fontId="60" fillId="0" borderId="0" xfId="2557" applyFont="1" applyFill="1">
      <alignment vertical="center"/>
    </xf>
    <xf numFmtId="41" fontId="46" fillId="10" borderId="2" xfId="1958" applyFont="1" applyFill="1" applyBorder="1" applyAlignment="1">
      <alignment vertical="center"/>
    </xf>
    <xf numFmtId="0" fontId="29" fillId="10" borderId="0" xfId="2564" applyFont="1" applyFill="1" applyAlignment="1">
      <alignment vertical="center"/>
    </xf>
    <xf numFmtId="0" fontId="49" fillId="14" borderId="0" xfId="2557" applyFont="1" applyFill="1">
      <alignment vertical="center"/>
    </xf>
    <xf numFmtId="0" fontId="48" fillId="0" borderId="2" xfId="2557" applyFont="1" applyBorder="1" applyAlignment="1">
      <alignment horizontal="center" vertical="center"/>
    </xf>
    <xf numFmtId="3" fontId="80" fillId="10" borderId="2" xfId="2564" applyNumberFormat="1" applyFont="1" applyFill="1" applyBorder="1" applyAlignment="1">
      <alignment vertical="center"/>
    </xf>
    <xf numFmtId="3" fontId="81" fillId="10" borderId="2" xfId="2564" applyNumberFormat="1" applyFont="1" applyFill="1" applyBorder="1" applyAlignment="1">
      <alignment vertical="center"/>
    </xf>
    <xf numFmtId="41" fontId="9" fillId="10" borderId="15" xfId="2564" applyNumberFormat="1" applyFont="1" applyFill="1" applyBorder="1" applyAlignment="1">
      <alignment vertical="center"/>
    </xf>
    <xf numFmtId="0" fontId="44" fillId="10" borderId="15" xfId="2564" applyFont="1" applyFill="1" applyBorder="1" applyAlignment="1">
      <alignment vertical="center"/>
    </xf>
    <xf numFmtId="3" fontId="80" fillId="10" borderId="0" xfId="2564" applyNumberFormat="1" applyFont="1" applyFill="1" applyAlignment="1">
      <alignment vertical="center"/>
    </xf>
    <xf numFmtId="41" fontId="29" fillId="10" borderId="0" xfId="1958" applyFont="1" applyFill="1" applyAlignment="1">
      <alignment vertical="center"/>
    </xf>
    <xf numFmtId="41" fontId="29" fillId="10" borderId="0" xfId="1958" applyFont="1" applyFill="1" applyAlignment="1">
      <alignment horizontal="center" vertical="center"/>
    </xf>
    <xf numFmtId="41" fontId="9" fillId="10" borderId="0" xfId="1958" applyFont="1" applyFill="1" applyAlignment="1">
      <alignment vertical="center"/>
    </xf>
    <xf numFmtId="41" fontId="29" fillId="10" borderId="0" xfId="2564" applyNumberFormat="1" applyFill="1" applyAlignment="1">
      <alignment vertical="center"/>
    </xf>
    <xf numFmtId="0" fontId="44" fillId="15" borderId="34" xfId="2564" applyFont="1" applyFill="1" applyBorder="1" applyAlignment="1">
      <alignment horizontal="center" vertical="center"/>
    </xf>
    <xf numFmtId="41" fontId="44" fillId="15" borderId="35" xfId="1958" applyFont="1" applyFill="1" applyBorder="1" applyAlignment="1">
      <alignment vertical="center"/>
    </xf>
    <xf numFmtId="3" fontId="46" fillId="15" borderId="36" xfId="2564" applyNumberFormat="1" applyFont="1" applyFill="1" applyBorder="1" applyAlignment="1">
      <alignment vertical="center"/>
    </xf>
    <xf numFmtId="3" fontId="44" fillId="15" borderId="35" xfId="2564" applyNumberFormat="1" applyFont="1" applyFill="1" applyBorder="1" applyAlignment="1">
      <alignment vertical="center"/>
    </xf>
    <xf numFmtId="3" fontId="9" fillId="15" borderId="35" xfId="2564" applyNumberFormat="1" applyFont="1" applyFill="1" applyBorder="1" applyAlignment="1">
      <alignment vertical="center"/>
    </xf>
    <xf numFmtId="3" fontId="52" fillId="15" borderId="36" xfId="2564" applyNumberFormat="1" applyFont="1" applyFill="1" applyBorder="1" applyAlignment="1">
      <alignment horizontal="right" vertical="center"/>
    </xf>
    <xf numFmtId="3" fontId="44" fillId="15" borderId="36" xfId="2564" applyNumberFormat="1" applyFont="1" applyFill="1" applyBorder="1" applyAlignment="1">
      <alignment vertical="center"/>
    </xf>
    <xf numFmtId="3" fontId="52" fillId="10" borderId="2" xfId="2564" applyNumberFormat="1" applyFont="1" applyFill="1" applyBorder="1" applyAlignment="1">
      <alignment vertical="center"/>
    </xf>
    <xf numFmtId="3" fontId="82" fillId="10" borderId="2" xfId="2564" applyNumberFormat="1" applyFont="1" applyFill="1" applyBorder="1" applyAlignment="1">
      <alignment vertical="center"/>
    </xf>
    <xf numFmtId="208" fontId="29" fillId="10" borderId="0" xfId="2564" applyNumberFormat="1" applyFill="1" applyAlignment="1">
      <alignment vertical="center"/>
    </xf>
    <xf numFmtId="0" fontId="0" fillId="0" borderId="0" xfId="0" applyBorder="1">
      <alignment vertical="center"/>
    </xf>
    <xf numFmtId="0" fontId="9" fillId="10" borderId="2" xfId="2564" applyFont="1" applyFill="1" applyBorder="1" applyAlignment="1">
      <alignment vertical="center" wrapText="1"/>
    </xf>
    <xf numFmtId="0" fontId="9" fillId="10" borderId="15" xfId="2564" applyFont="1" applyFill="1" applyBorder="1" applyAlignment="1">
      <alignment vertical="center" wrapText="1"/>
    </xf>
    <xf numFmtId="41" fontId="9" fillId="0" borderId="2" xfId="1958" applyFont="1" applyFill="1" applyBorder="1" applyAlignment="1">
      <alignment vertical="center"/>
    </xf>
    <xf numFmtId="0" fontId="9" fillId="10" borderId="21" xfId="2564" applyFont="1" applyFill="1" applyBorder="1" applyAlignment="1">
      <alignment horizontal="center" vertical="center"/>
    </xf>
    <xf numFmtId="41" fontId="9" fillId="0" borderId="2" xfId="2564" applyNumberFormat="1" applyFont="1" applyFill="1" applyBorder="1" applyAlignment="1">
      <alignment vertical="center"/>
    </xf>
    <xf numFmtId="41" fontId="60" fillId="0" borderId="37" xfId="1958" applyFont="1" applyBorder="1" applyAlignment="1">
      <alignment horizontal="center" vertical="center" wrapText="1"/>
    </xf>
    <xf numFmtId="3" fontId="44" fillId="15" borderId="38" xfId="2564" applyNumberFormat="1" applyFont="1" applyFill="1" applyBorder="1" applyAlignment="1">
      <alignment vertical="center"/>
    </xf>
    <xf numFmtId="3" fontId="44" fillId="15" borderId="39" xfId="2564" applyNumberFormat="1" applyFont="1" applyFill="1" applyBorder="1" applyAlignment="1">
      <alignment vertical="center"/>
    </xf>
    <xf numFmtId="3" fontId="44" fillId="15" borderId="40" xfId="2564" applyNumberFormat="1" applyFont="1" applyFill="1" applyBorder="1" applyAlignment="1">
      <alignment vertical="center"/>
    </xf>
    <xf numFmtId="0" fontId="48" fillId="0" borderId="2" xfId="2557" applyFont="1" applyBorder="1" applyAlignment="1">
      <alignment vertical="center" wrapText="1"/>
    </xf>
    <xf numFmtId="0" fontId="9" fillId="10" borderId="26" xfId="2564" applyFont="1" applyFill="1" applyBorder="1" applyAlignment="1">
      <alignment vertical="center"/>
    </xf>
    <xf numFmtId="41" fontId="9" fillId="10" borderId="26" xfId="1958" applyFont="1" applyFill="1" applyBorder="1" applyAlignment="1">
      <alignment vertical="center"/>
    </xf>
    <xf numFmtId="41" fontId="9" fillId="0" borderId="14" xfId="1958" applyFont="1" applyFill="1" applyBorder="1" applyAlignment="1">
      <alignment vertical="center"/>
    </xf>
    <xf numFmtId="0" fontId="44" fillId="10" borderId="14" xfId="2564" applyFont="1" applyFill="1" applyBorder="1" applyAlignment="1">
      <alignment vertical="center"/>
    </xf>
    <xf numFmtId="0" fontId="9" fillId="0" borderId="2" xfId="2564" applyFont="1" applyFill="1" applyBorder="1" applyAlignment="1">
      <alignment vertical="center"/>
    </xf>
    <xf numFmtId="3" fontId="9" fillId="0" borderId="2" xfId="2564" applyNumberFormat="1" applyFont="1" applyFill="1" applyBorder="1" applyAlignment="1">
      <alignment vertical="center"/>
    </xf>
    <xf numFmtId="0" fontId="48" fillId="0" borderId="41" xfId="2557" applyFont="1" applyBorder="1" applyAlignment="1">
      <alignment horizontal="center" vertical="center" wrapText="1"/>
    </xf>
    <xf numFmtId="0" fontId="48" fillId="0" borderId="42" xfId="2557" applyFont="1" applyBorder="1" applyAlignment="1">
      <alignment horizontal="center" vertical="center" wrapText="1"/>
    </xf>
    <xf numFmtId="0" fontId="9" fillId="16" borderId="2" xfId="2564" applyFont="1" applyFill="1" applyBorder="1" applyAlignment="1">
      <alignment vertical="center"/>
    </xf>
    <xf numFmtId="41" fontId="9" fillId="16" borderId="2" xfId="1958" applyFont="1" applyFill="1" applyBorder="1" applyAlignment="1">
      <alignment vertical="center"/>
    </xf>
    <xf numFmtId="41" fontId="9" fillId="16" borderId="14" xfId="1958" applyFont="1" applyFill="1" applyBorder="1" applyAlignment="1">
      <alignment vertical="center"/>
    </xf>
    <xf numFmtId="3" fontId="9" fillId="16" borderId="2" xfId="2564" applyNumberFormat="1" applyFont="1" applyFill="1" applyBorder="1" applyAlignment="1">
      <alignment vertical="center"/>
    </xf>
    <xf numFmtId="0" fontId="9" fillId="0" borderId="12" xfId="2564" applyFont="1" applyFill="1" applyBorder="1" applyAlignment="1">
      <alignment vertical="center"/>
    </xf>
    <xf numFmtId="0" fontId="44" fillId="10" borderId="20" xfId="2564" applyFont="1" applyFill="1" applyBorder="1" applyAlignment="1">
      <alignment horizontal="center" vertical="center"/>
    </xf>
    <xf numFmtId="0" fontId="45" fillId="10" borderId="14" xfId="2564" applyFont="1" applyFill="1" applyBorder="1" applyAlignment="1">
      <alignment vertical="center"/>
    </xf>
    <xf numFmtId="0" fontId="48" fillId="0" borderId="0" xfId="2557" applyFont="1">
      <alignment vertical="center"/>
    </xf>
    <xf numFmtId="41" fontId="46" fillId="0" borderId="28" xfId="1958" applyFont="1" applyFill="1" applyBorder="1" applyAlignment="1">
      <alignment vertical="center"/>
    </xf>
    <xf numFmtId="41" fontId="9" fillId="10" borderId="14" xfId="2564" applyNumberFormat="1" applyFont="1" applyFill="1" applyBorder="1" applyAlignment="1">
      <alignment vertical="center"/>
    </xf>
    <xf numFmtId="41" fontId="46" fillId="10" borderId="0" xfId="1958" applyFont="1" applyFill="1" applyAlignment="1">
      <alignment vertical="center"/>
    </xf>
    <xf numFmtId="0" fontId="29" fillId="0" borderId="0" xfId="2596" applyFont="1" applyBorder="1">
      <alignment vertical="center"/>
    </xf>
    <xf numFmtId="0" fontId="29" fillId="0" borderId="0" xfId="2596" applyFont="1" applyBorder="1" applyAlignment="1">
      <alignment horizontal="center" vertical="center"/>
    </xf>
    <xf numFmtId="0" fontId="46" fillId="10" borderId="18" xfId="2564" applyFont="1" applyFill="1" applyBorder="1" applyAlignment="1">
      <alignment horizontal="center" vertical="center" textRotation="255" wrapText="1"/>
    </xf>
    <xf numFmtId="0" fontId="46" fillId="10" borderId="18" xfId="2564" applyFont="1" applyFill="1" applyBorder="1" applyAlignment="1">
      <alignment horizontal="center" vertical="center" wrapText="1"/>
    </xf>
    <xf numFmtId="0" fontId="46" fillId="10" borderId="0" xfId="2564" applyFont="1" applyFill="1" applyBorder="1" applyAlignment="1">
      <alignment horizontal="center" vertical="center" textRotation="255" wrapText="1"/>
    </xf>
    <xf numFmtId="0" fontId="58" fillId="0" borderId="24" xfId="2557" applyFont="1" applyBorder="1" applyAlignment="1">
      <alignment horizontal="center" vertical="center"/>
    </xf>
    <xf numFmtId="0" fontId="58" fillId="0" borderId="0" xfId="2557" applyFont="1" applyBorder="1" applyAlignment="1">
      <alignment horizontal="center" vertical="center"/>
    </xf>
    <xf numFmtId="0" fontId="58" fillId="0" borderId="24" xfId="2557" applyFont="1" applyBorder="1">
      <alignment vertical="center"/>
    </xf>
    <xf numFmtId="0" fontId="58" fillId="0" borderId="0" xfId="2557" applyFont="1" applyBorder="1">
      <alignment vertical="center"/>
    </xf>
    <xf numFmtId="0" fontId="59" fillId="0" borderId="0" xfId="2557" applyFont="1" applyBorder="1" applyAlignment="1">
      <alignment horizontal="center" vertical="center"/>
    </xf>
    <xf numFmtId="0" fontId="72" fillId="0" borderId="0" xfId="2557" applyFont="1" applyBorder="1" applyAlignment="1">
      <alignment horizontal="left" vertical="center"/>
    </xf>
    <xf numFmtId="0" fontId="46" fillId="10" borderId="0" xfId="2596" applyFont="1" applyFill="1">
      <alignment vertical="center"/>
    </xf>
    <xf numFmtId="0" fontId="29" fillId="10" borderId="0" xfId="2596" applyFont="1" applyFill="1">
      <alignment vertical="center"/>
    </xf>
    <xf numFmtId="41" fontId="58" fillId="0" borderId="0" xfId="2557" applyNumberFormat="1" applyFont="1" applyAlignment="1">
      <alignment vertical="center" shrinkToFit="1"/>
    </xf>
    <xf numFmtId="0" fontId="29" fillId="0" borderId="0" xfId="2520" applyFont="1" applyFill="1"/>
    <xf numFmtId="3" fontId="0" fillId="0" borderId="0" xfId="0" applyNumberFormat="1">
      <alignment vertical="center"/>
    </xf>
    <xf numFmtId="3" fontId="60" fillId="0" borderId="0" xfId="2557" applyNumberFormat="1" applyFont="1" applyFill="1">
      <alignment vertical="center"/>
    </xf>
    <xf numFmtId="41" fontId="60" fillId="0" borderId="0" xfId="1958" applyFont="1">
      <alignment vertical="center"/>
    </xf>
    <xf numFmtId="41" fontId="74" fillId="0" borderId="0" xfId="1958" applyFont="1">
      <alignment vertical="center"/>
    </xf>
    <xf numFmtId="3" fontId="75" fillId="0" borderId="22" xfId="2557" applyNumberFormat="1" applyFont="1" applyBorder="1" applyAlignment="1">
      <alignment horizontal="right" vertical="center" wrapText="1"/>
    </xf>
    <xf numFmtId="41" fontId="73" fillId="0" borderId="0" xfId="1989" applyFont="1" applyBorder="1" applyAlignment="1">
      <alignment horizontal="center" vertical="center"/>
    </xf>
    <xf numFmtId="41" fontId="59" fillId="0" borderId="0" xfId="1989" applyFont="1" applyBorder="1" applyAlignment="1">
      <alignment horizontal="center" vertical="center"/>
    </xf>
    <xf numFmtId="41" fontId="74" fillId="0" borderId="0" xfId="1989" applyFont="1">
      <alignment vertical="center"/>
    </xf>
    <xf numFmtId="41" fontId="48" fillId="0" borderId="0" xfId="1989" applyFont="1">
      <alignment vertical="center"/>
    </xf>
    <xf numFmtId="0" fontId="71" fillId="0" borderId="0" xfId="2596" applyFont="1" applyBorder="1" applyAlignment="1">
      <alignment vertical="center"/>
    </xf>
    <xf numFmtId="0" fontId="0" fillId="0" borderId="0" xfId="0">
      <alignment vertical="center"/>
    </xf>
    <xf numFmtId="41" fontId="46" fillId="10" borderId="0" xfId="2564" applyNumberFormat="1" applyFont="1" applyFill="1" applyAlignment="1">
      <alignment vertical="center"/>
    </xf>
    <xf numFmtId="210" fontId="46" fillId="10" borderId="0" xfId="2564" applyNumberFormat="1" applyFont="1" applyFill="1" applyAlignment="1">
      <alignment vertical="center"/>
    </xf>
    <xf numFmtId="211" fontId="46" fillId="10" borderId="0" xfId="2564" applyNumberFormat="1" applyFont="1" applyFill="1" applyAlignment="1">
      <alignment vertical="center"/>
    </xf>
    <xf numFmtId="0" fontId="29" fillId="0" borderId="0" xfId="2596" applyFont="1" applyBorder="1" applyAlignment="1">
      <alignment vertical="center"/>
    </xf>
    <xf numFmtId="41" fontId="74" fillId="10" borderId="22" xfId="1989" applyFont="1" applyFill="1" applyBorder="1" applyAlignment="1">
      <alignment horizontal="right" vertical="center" wrapText="1"/>
    </xf>
    <xf numFmtId="41" fontId="74" fillId="10" borderId="37" xfId="1989" applyFont="1" applyFill="1" applyBorder="1" applyAlignment="1">
      <alignment horizontal="right" vertical="center" wrapText="1"/>
    </xf>
    <xf numFmtId="0" fontId="74" fillId="10" borderId="22" xfId="1989" applyNumberFormat="1" applyFont="1" applyFill="1" applyBorder="1" applyAlignment="1">
      <alignment horizontal="center" vertical="center" wrapText="1"/>
    </xf>
    <xf numFmtId="0" fontId="48" fillId="10" borderId="32" xfId="2557" applyFont="1" applyFill="1" applyBorder="1" applyAlignment="1">
      <alignment vertical="center" wrapText="1"/>
    </xf>
    <xf numFmtId="0" fontId="48" fillId="10" borderId="43" xfId="2557" applyFont="1" applyFill="1" applyBorder="1" applyAlignment="1">
      <alignment vertical="center" wrapText="1"/>
    </xf>
    <xf numFmtId="41" fontId="76" fillId="10" borderId="22" xfId="1989" applyFont="1" applyFill="1" applyBorder="1" applyAlignment="1">
      <alignment horizontal="right" vertical="center" wrapText="1"/>
    </xf>
    <xf numFmtId="41" fontId="77" fillId="10" borderId="22" xfId="1989" applyFont="1" applyFill="1" applyBorder="1" applyAlignment="1">
      <alignment horizontal="right" vertical="center" wrapText="1"/>
    </xf>
    <xf numFmtId="41" fontId="74" fillId="10" borderId="0" xfId="1989" applyFont="1" applyFill="1" applyAlignment="1">
      <alignment horizontal="right" vertical="center"/>
    </xf>
    <xf numFmtId="209" fontId="74" fillId="10" borderId="22" xfId="1989" applyNumberFormat="1" applyFont="1" applyFill="1" applyBorder="1" applyAlignment="1">
      <alignment horizontal="right" vertical="center" wrapText="1"/>
    </xf>
    <xf numFmtId="20" fontId="48" fillId="10" borderId="43" xfId="2557" quotePrefix="1" applyNumberFormat="1" applyFont="1" applyFill="1" applyBorder="1" applyAlignment="1">
      <alignment vertical="center" wrapText="1"/>
    </xf>
    <xf numFmtId="0" fontId="48" fillId="10" borderId="31" xfId="2557" applyFont="1" applyFill="1" applyBorder="1" applyAlignment="1">
      <alignment vertical="center" wrapText="1"/>
    </xf>
    <xf numFmtId="0" fontId="48" fillId="10" borderId="44" xfId="2557" applyFont="1" applyFill="1" applyBorder="1" applyAlignment="1">
      <alignment vertical="center" wrapText="1"/>
    </xf>
    <xf numFmtId="0" fontId="48" fillId="10" borderId="31" xfId="2557" applyFont="1" applyFill="1" applyBorder="1" applyAlignment="1">
      <alignment horizontal="center" vertical="center" wrapText="1"/>
    </xf>
    <xf numFmtId="0" fontId="48" fillId="10" borderId="45" xfId="2557" applyFont="1" applyFill="1" applyBorder="1" applyAlignment="1">
      <alignment horizontal="center" vertical="center" wrapText="1"/>
    </xf>
    <xf numFmtId="0" fontId="48" fillId="10" borderId="46" xfId="2557" applyFont="1" applyFill="1" applyBorder="1" applyAlignment="1">
      <alignment vertical="center" wrapText="1"/>
    </xf>
    <xf numFmtId="0" fontId="90" fillId="10" borderId="2" xfId="0" applyFont="1" applyFill="1" applyBorder="1">
      <alignment vertical="center"/>
    </xf>
    <xf numFmtId="0" fontId="89" fillId="10" borderId="2" xfId="0" applyFont="1" applyFill="1" applyBorder="1">
      <alignment vertical="center"/>
    </xf>
    <xf numFmtId="207" fontId="74" fillId="10" borderId="2" xfId="1989" applyNumberFormat="1" applyFont="1" applyFill="1" applyBorder="1" applyAlignment="1">
      <alignment horizontal="right" vertical="center" wrapText="1"/>
    </xf>
    <xf numFmtId="0" fontId="48" fillId="10" borderId="45" xfId="2557" applyFont="1" applyFill="1" applyBorder="1" applyAlignment="1">
      <alignment vertical="center" wrapText="1"/>
    </xf>
    <xf numFmtId="41" fontId="74" fillId="10" borderId="44" xfId="1989" applyFont="1" applyFill="1" applyBorder="1" applyAlignment="1">
      <alignment horizontal="right" vertical="center" wrapText="1"/>
    </xf>
    <xf numFmtId="41" fontId="61" fillId="10" borderId="44" xfId="1989" applyFont="1" applyFill="1" applyBorder="1" applyAlignment="1">
      <alignment horizontal="right" vertical="center" wrapText="1"/>
    </xf>
    <xf numFmtId="41" fontId="61" fillId="10" borderId="22" xfId="1989" applyFont="1" applyFill="1" applyBorder="1" applyAlignment="1">
      <alignment horizontal="right" vertical="center" wrapText="1"/>
    </xf>
    <xf numFmtId="41" fontId="48" fillId="10" borderId="22" xfId="1989" applyFont="1" applyFill="1" applyBorder="1" applyAlignment="1">
      <alignment horizontal="right" vertical="center" wrapText="1"/>
    </xf>
    <xf numFmtId="0" fontId="88" fillId="10" borderId="15" xfId="0" applyFont="1" applyFill="1" applyBorder="1">
      <alignment vertical="center"/>
    </xf>
    <xf numFmtId="0" fontId="48" fillId="10" borderId="14" xfId="0" applyFont="1" applyFill="1" applyBorder="1">
      <alignment vertical="center"/>
    </xf>
    <xf numFmtId="0" fontId="88" fillId="10" borderId="14" xfId="0" applyFont="1" applyFill="1" applyBorder="1">
      <alignment vertical="center"/>
    </xf>
    <xf numFmtId="41" fontId="90" fillId="10" borderId="22" xfId="1989" applyFont="1" applyFill="1" applyBorder="1" applyAlignment="1">
      <alignment horizontal="right" vertical="center" wrapText="1"/>
    </xf>
    <xf numFmtId="41" fontId="74" fillId="10" borderId="47" xfId="1989" applyFont="1" applyFill="1" applyBorder="1" applyAlignment="1">
      <alignment horizontal="right" vertical="center" wrapText="1"/>
    </xf>
    <xf numFmtId="0" fontId="89" fillId="10" borderId="22" xfId="0" applyFont="1" applyFill="1" applyBorder="1" applyAlignment="1">
      <alignment horizontal="center" vertical="center" wrapText="1"/>
    </xf>
    <xf numFmtId="41" fontId="46" fillId="10" borderId="22" xfId="1989" applyFont="1" applyFill="1" applyBorder="1" applyAlignment="1">
      <alignment horizontal="right" vertical="center" wrapText="1"/>
    </xf>
    <xf numFmtId="203" fontId="74" fillId="10" borderId="22" xfId="1989" applyNumberFormat="1" applyFont="1" applyFill="1" applyBorder="1" applyAlignment="1">
      <alignment horizontal="right" vertical="center" wrapText="1"/>
    </xf>
    <xf numFmtId="41" fontId="74" fillId="10" borderId="22" xfId="1989" applyFont="1" applyFill="1" applyBorder="1" applyAlignment="1">
      <alignment horizontal="center" vertical="center" wrapText="1"/>
    </xf>
    <xf numFmtId="41" fontId="48" fillId="10" borderId="22" xfId="1989" applyFont="1" applyFill="1" applyBorder="1" applyAlignment="1">
      <alignment horizontal="center" vertical="center" wrapText="1"/>
    </xf>
    <xf numFmtId="0" fontId="48" fillId="10" borderId="26" xfId="2557" applyFont="1" applyFill="1" applyBorder="1" applyAlignment="1">
      <alignment vertical="center" wrapText="1"/>
    </xf>
    <xf numFmtId="0" fontId="48" fillId="10" borderId="14" xfId="2557" applyFont="1" applyFill="1" applyBorder="1" applyAlignment="1">
      <alignment vertical="center" wrapText="1"/>
    </xf>
    <xf numFmtId="41" fontId="74" fillId="10" borderId="44" xfId="1989" applyFont="1" applyFill="1" applyBorder="1" applyAlignment="1">
      <alignment horizontal="right" vertical="center"/>
    </xf>
    <xf numFmtId="41" fontId="74" fillId="10" borderId="22" xfId="1989" applyFont="1" applyFill="1" applyBorder="1" applyAlignment="1">
      <alignment horizontal="right" vertical="center"/>
    </xf>
    <xf numFmtId="0" fontId="0" fillId="0" borderId="0" xfId="0">
      <alignment vertical="center"/>
    </xf>
    <xf numFmtId="201" fontId="58" fillId="0" borderId="2" xfId="2013" applyNumberFormat="1" applyFont="1" applyFill="1" applyBorder="1">
      <alignment vertical="center"/>
    </xf>
    <xf numFmtId="41" fontId="46" fillId="10" borderId="24" xfId="2564" applyNumberFormat="1" applyFont="1" applyFill="1" applyBorder="1" applyAlignment="1">
      <alignment vertical="center"/>
    </xf>
    <xf numFmtId="10" fontId="46" fillId="10" borderId="0" xfId="2564" applyNumberFormat="1" applyFont="1" applyFill="1" applyAlignment="1">
      <alignment vertical="center"/>
    </xf>
    <xf numFmtId="0" fontId="58" fillId="0" borderId="2" xfId="0" applyFont="1" applyFill="1" applyBorder="1" applyAlignment="1">
      <alignment vertical="center" wrapText="1"/>
    </xf>
    <xf numFmtId="201" fontId="58" fillId="0" borderId="14" xfId="2013" applyNumberFormat="1" applyFont="1" applyFill="1" applyBorder="1">
      <alignment vertical="center"/>
    </xf>
    <xf numFmtId="14" fontId="58" fillId="0" borderId="2" xfId="0" applyNumberFormat="1" applyFont="1" applyFill="1" applyBorder="1" applyAlignment="1">
      <alignment horizontal="center" vertical="center" wrapText="1"/>
    </xf>
    <xf numFmtId="3" fontId="58" fillId="0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46" fillId="10" borderId="0" xfId="2564" applyFont="1" applyFill="1" applyBorder="1" applyAlignment="1">
      <alignment vertical="center" textRotation="255" wrapText="1"/>
    </xf>
    <xf numFmtId="0" fontId="46" fillId="10" borderId="24" xfId="2564" applyFont="1" applyFill="1" applyBorder="1" applyAlignment="1">
      <alignment vertical="center"/>
    </xf>
    <xf numFmtId="233" fontId="46" fillId="10" borderId="24" xfId="1817" applyNumberFormat="1" applyFont="1" applyFill="1" applyBorder="1" applyAlignment="1">
      <alignment vertical="center"/>
    </xf>
    <xf numFmtId="0" fontId="46" fillId="10" borderId="25" xfId="2564" applyFont="1" applyFill="1" applyBorder="1" applyAlignment="1">
      <alignment vertical="center"/>
    </xf>
    <xf numFmtId="0" fontId="46" fillId="10" borderId="26" xfId="2564" applyFont="1" applyFill="1" applyBorder="1" applyAlignment="1">
      <alignment vertical="center"/>
    </xf>
    <xf numFmtId="14" fontId="3" fillId="0" borderId="44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3" fontId="3" fillId="0" borderId="2" xfId="0" applyNumberFormat="1" applyFont="1" applyFill="1" applyBorder="1" applyAlignment="1">
      <alignment horizontal="right" vertical="center" wrapText="1"/>
    </xf>
    <xf numFmtId="0" fontId="3" fillId="0" borderId="44" xfId="0" applyFont="1" applyFill="1" applyBorder="1" applyAlignment="1">
      <alignment vertical="center" wrapText="1"/>
    </xf>
    <xf numFmtId="3" fontId="3" fillId="0" borderId="44" xfId="0" applyNumberFormat="1" applyFont="1" applyFill="1" applyBorder="1" applyAlignment="1">
      <alignment horizontal="right" vertical="center" wrapText="1"/>
    </xf>
    <xf numFmtId="3" fontId="3" fillId="0" borderId="22" xfId="0" applyNumberFormat="1" applyFont="1" applyFill="1" applyBorder="1" applyAlignment="1">
      <alignment horizontal="right" vertical="center" wrapText="1"/>
    </xf>
    <xf numFmtId="0" fontId="3" fillId="0" borderId="22" xfId="0" applyFont="1" applyFill="1" applyBorder="1" applyAlignment="1">
      <alignment vertical="center" wrapText="1"/>
    </xf>
    <xf numFmtId="0" fontId="46" fillId="0" borderId="0" xfId="2564" applyFont="1" applyFill="1" applyBorder="1" applyAlignment="1">
      <alignment vertical="center"/>
    </xf>
    <xf numFmtId="0" fontId="46" fillId="0" borderId="0" xfId="2564" applyFont="1" applyFill="1" applyAlignment="1">
      <alignment vertical="center"/>
    </xf>
    <xf numFmtId="205" fontId="46" fillId="0" borderId="0" xfId="2027" applyNumberFormat="1" applyFont="1" applyFill="1" applyBorder="1" applyAlignment="1">
      <alignment vertical="center"/>
    </xf>
    <xf numFmtId="3" fontId="46" fillId="0" borderId="0" xfId="2564" applyNumberFormat="1" applyFont="1" applyFill="1" applyAlignment="1">
      <alignment vertical="center"/>
    </xf>
    <xf numFmtId="41" fontId="46" fillId="0" borderId="0" xfId="1958" applyFont="1" applyFill="1" applyAlignment="1">
      <alignment vertical="center"/>
    </xf>
    <xf numFmtId="41" fontId="46" fillId="0" borderId="0" xfId="2564" applyNumberFormat="1" applyFont="1" applyFill="1" applyAlignment="1">
      <alignment vertical="center"/>
    </xf>
    <xf numFmtId="0" fontId="46" fillId="0" borderId="0" xfId="2564" applyFont="1" applyFill="1" applyBorder="1" applyAlignment="1">
      <alignment horizontal="center" vertical="center"/>
    </xf>
    <xf numFmtId="3" fontId="7" fillId="0" borderId="0" xfId="2564" applyNumberFormat="1" applyFont="1" applyFill="1" applyBorder="1" applyAlignment="1">
      <alignment vertical="center" shrinkToFit="1"/>
    </xf>
    <xf numFmtId="10" fontId="7" fillId="0" borderId="0" xfId="1822" applyNumberFormat="1" applyFont="1" applyFill="1" applyBorder="1" applyAlignment="1">
      <alignment vertical="center" shrinkToFit="1"/>
    </xf>
    <xf numFmtId="0" fontId="46" fillId="0" borderId="0" xfId="2564" applyFont="1" applyFill="1" applyBorder="1" applyAlignment="1">
      <alignment vertical="center" shrinkToFit="1"/>
    </xf>
    <xf numFmtId="0" fontId="46" fillId="0" borderId="0" xfId="2564" applyFont="1" applyFill="1" applyBorder="1" applyAlignment="1">
      <alignment horizontal="center" vertical="center" shrinkToFit="1"/>
    </xf>
    <xf numFmtId="205" fontId="7" fillId="0" borderId="0" xfId="2027" applyNumberFormat="1" applyFont="1" applyFill="1" applyBorder="1" applyAlignment="1">
      <alignment vertical="center" shrinkToFit="1"/>
    </xf>
    <xf numFmtId="0" fontId="48" fillId="0" borderId="6" xfId="0" applyFont="1" applyFill="1" applyBorder="1" applyAlignment="1">
      <alignment vertical="center"/>
    </xf>
    <xf numFmtId="0" fontId="46" fillId="0" borderId="18" xfId="2564" applyFont="1" applyFill="1" applyBorder="1" applyAlignment="1">
      <alignment vertical="center"/>
    </xf>
    <xf numFmtId="41" fontId="46" fillId="0" borderId="18" xfId="1958" applyFont="1" applyFill="1" applyBorder="1" applyAlignment="1">
      <alignment vertical="center"/>
    </xf>
    <xf numFmtId="41" fontId="46" fillId="0" borderId="18" xfId="2564" applyNumberFormat="1" applyFont="1" applyFill="1" applyBorder="1" applyAlignment="1">
      <alignment vertical="center"/>
    </xf>
    <xf numFmtId="49" fontId="46" fillId="0" borderId="0" xfId="2564" applyNumberFormat="1" applyFont="1" applyFill="1" applyBorder="1" applyAlignment="1">
      <alignment vertical="center"/>
    </xf>
    <xf numFmtId="0" fontId="53" fillId="0" borderId="0" xfId="2520" applyFont="1" applyFill="1" applyBorder="1" applyAlignment="1">
      <alignment vertical="center" shrinkToFit="1"/>
    </xf>
    <xf numFmtId="0" fontId="29" fillId="0" borderId="0" xfId="2520" applyFont="1" applyFill="1" applyBorder="1" applyAlignment="1">
      <alignment vertical="center" shrinkToFit="1"/>
    </xf>
    <xf numFmtId="0" fontId="46" fillId="0" borderId="0" xfId="2520" applyFont="1" applyFill="1" applyBorder="1" applyAlignment="1">
      <alignment horizontal="center" vertical="center" shrinkToFit="1"/>
    </xf>
    <xf numFmtId="41" fontId="46" fillId="0" borderId="0" xfId="2520" applyNumberFormat="1" applyFont="1" applyFill="1" applyBorder="1" applyAlignment="1">
      <alignment vertical="center" shrinkToFit="1"/>
    </xf>
    <xf numFmtId="233" fontId="46" fillId="10" borderId="0" xfId="1817" applyNumberFormat="1" applyFont="1" applyFill="1" applyBorder="1" applyAlignment="1">
      <alignment vertical="center"/>
    </xf>
    <xf numFmtId="0" fontId="58" fillId="0" borderId="44" xfId="0" applyFont="1" applyFill="1" applyBorder="1" applyAlignment="1">
      <alignment vertical="center" wrapText="1"/>
    </xf>
    <xf numFmtId="0" fontId="0" fillId="0" borderId="0" xfId="0">
      <alignment vertical="center"/>
    </xf>
    <xf numFmtId="41" fontId="46" fillId="10" borderId="0" xfId="1958" applyFont="1" applyFill="1" applyBorder="1" applyAlignment="1">
      <alignment vertical="center"/>
    </xf>
    <xf numFmtId="0" fontId="46" fillId="10" borderId="0" xfId="2564" applyFont="1" applyFill="1" applyAlignment="1">
      <alignment horizontal="center" vertical="center"/>
    </xf>
    <xf numFmtId="0" fontId="45" fillId="10" borderId="18" xfId="2564" applyFont="1" applyFill="1" applyBorder="1" applyAlignment="1">
      <alignment horizontal="center" vertical="center"/>
    </xf>
    <xf numFmtId="233" fontId="46" fillId="10" borderId="0" xfId="1817" applyNumberFormat="1" applyFont="1" applyFill="1" applyBorder="1" applyAlignment="1">
      <alignment horizontal="center" vertical="center"/>
    </xf>
    <xf numFmtId="41" fontId="46" fillId="10" borderId="0" xfId="2564" applyNumberFormat="1" applyFont="1" applyFill="1" applyBorder="1" applyAlignment="1">
      <alignment horizontal="center" vertical="center"/>
    </xf>
    <xf numFmtId="0" fontId="46" fillId="10" borderId="0" xfId="2564" applyFont="1" applyFill="1" applyBorder="1" applyAlignment="1">
      <alignment horizontal="center" vertical="center"/>
    </xf>
    <xf numFmtId="41" fontId="144" fillId="0" borderId="0" xfId="2787" applyFont="1">
      <alignment vertical="center"/>
    </xf>
    <xf numFmtId="41" fontId="145" fillId="0" borderId="0" xfId="2787" applyFont="1">
      <alignment vertical="center"/>
    </xf>
    <xf numFmtId="234" fontId="144" fillId="0" borderId="0" xfId="2787" applyNumberFormat="1" applyFont="1">
      <alignment vertical="center"/>
    </xf>
    <xf numFmtId="41" fontId="140" fillId="0" borderId="86" xfId="2787" applyFont="1" applyBorder="1" applyAlignment="1">
      <alignment horizontal="center" vertical="center"/>
    </xf>
    <xf numFmtId="234" fontId="140" fillId="0" borderId="86" xfId="2787" applyNumberFormat="1" applyFont="1" applyBorder="1" applyAlignment="1">
      <alignment horizontal="center" vertical="center"/>
    </xf>
    <xf numFmtId="41" fontId="140" fillId="0" borderId="88" xfId="2787" applyFont="1" applyBorder="1" applyAlignment="1">
      <alignment horizontal="center" vertical="center"/>
    </xf>
    <xf numFmtId="234" fontId="140" fillId="0" borderId="88" xfId="2787" applyNumberFormat="1" applyFont="1" applyBorder="1" applyAlignment="1">
      <alignment horizontal="center" vertical="center"/>
    </xf>
    <xf numFmtId="41" fontId="140" fillId="0" borderId="94" xfId="2787" applyFont="1" applyBorder="1" applyAlignment="1">
      <alignment horizontal="center" vertical="center"/>
    </xf>
    <xf numFmtId="41" fontId="140" fillId="0" borderId="95" xfId="2787" applyFont="1" applyBorder="1" applyAlignment="1">
      <alignment horizontal="center" vertical="center"/>
    </xf>
    <xf numFmtId="234" fontId="140" fillId="0" borderId="94" xfId="2787" applyNumberFormat="1" applyFont="1" applyBorder="1" applyAlignment="1">
      <alignment horizontal="center" vertical="center"/>
    </xf>
    <xf numFmtId="41" fontId="140" fillId="0" borderId="98" xfId="2787" applyFont="1" applyBorder="1" applyAlignment="1">
      <alignment horizontal="center" vertical="center"/>
    </xf>
    <xf numFmtId="234" fontId="140" fillId="0" borderId="95" xfId="2787" applyNumberFormat="1" applyFont="1" applyBorder="1" applyAlignment="1">
      <alignment horizontal="center" vertical="center"/>
    </xf>
    <xf numFmtId="41" fontId="140" fillId="0" borderId="103" xfId="2787" applyFont="1" applyBorder="1" applyAlignment="1">
      <alignment horizontal="center" vertical="center"/>
    </xf>
    <xf numFmtId="41" fontId="147" fillId="0" borderId="95" xfId="2787" applyFont="1" applyBorder="1" applyAlignment="1">
      <alignment horizontal="center" vertical="center"/>
    </xf>
    <xf numFmtId="41" fontId="140" fillId="48" borderId="95" xfId="2787" applyFont="1" applyFill="1" applyBorder="1" applyAlignment="1">
      <alignment horizontal="center" vertical="center"/>
    </xf>
    <xf numFmtId="41" fontId="140" fillId="48" borderId="94" xfId="2787" applyFont="1" applyFill="1" applyBorder="1" applyAlignment="1">
      <alignment horizontal="center" vertical="center"/>
    </xf>
    <xf numFmtId="41" fontId="140" fillId="0" borderId="104" xfId="2787" applyFont="1" applyBorder="1" applyAlignment="1">
      <alignment horizontal="center" vertical="center"/>
    </xf>
    <xf numFmtId="41" fontId="140" fillId="0" borderId="108" xfId="2787" applyFont="1" applyBorder="1" applyAlignment="1">
      <alignment horizontal="center" vertical="center"/>
    </xf>
    <xf numFmtId="234" fontId="140" fillId="0" borderId="108" xfId="2787" applyNumberFormat="1" applyFont="1" applyBorder="1" applyAlignment="1">
      <alignment horizontal="center" vertical="center"/>
    </xf>
    <xf numFmtId="41" fontId="148" fillId="0" borderId="0" xfId="2787" applyFont="1">
      <alignment vertical="center"/>
    </xf>
    <xf numFmtId="233" fontId="49" fillId="10" borderId="0" xfId="1817" applyNumberFormat="1" applyFont="1" applyFill="1" applyBorder="1" applyAlignment="1">
      <alignment horizontal="center" vertical="center"/>
    </xf>
    <xf numFmtId="41" fontId="49" fillId="10" borderId="0" xfId="2564" applyNumberFormat="1" applyFont="1" applyFill="1" applyBorder="1" applyAlignment="1">
      <alignment horizontal="center" vertical="center"/>
    </xf>
    <xf numFmtId="0" fontId="29" fillId="0" borderId="0" xfId="2564" applyFont="1" applyFill="1" applyBorder="1" applyAlignment="1">
      <alignment vertical="center"/>
    </xf>
    <xf numFmtId="0" fontId="149" fillId="49" borderId="35" xfId="2520" applyFont="1" applyFill="1" applyBorder="1" applyAlignment="1">
      <alignment horizontal="center" vertical="center" shrinkToFit="1"/>
    </xf>
    <xf numFmtId="0" fontId="149" fillId="49" borderId="36" xfId="2520" applyFont="1" applyFill="1" applyBorder="1" applyAlignment="1">
      <alignment horizontal="center" vertical="center" shrinkToFit="1"/>
    </xf>
    <xf numFmtId="0" fontId="150" fillId="0" borderId="0" xfId="2520" applyFont="1" applyFill="1"/>
    <xf numFmtId="41" fontId="150" fillId="0" borderId="30" xfId="2520" applyNumberFormat="1" applyFont="1" applyFill="1" applyBorder="1" applyAlignment="1">
      <alignment vertical="center" shrinkToFit="1"/>
    </xf>
    <xf numFmtId="41" fontId="150" fillId="0" borderId="81" xfId="2520" applyNumberFormat="1" applyFont="1" applyFill="1" applyBorder="1" applyAlignment="1">
      <alignment vertical="center" shrinkToFit="1"/>
    </xf>
    <xf numFmtId="41" fontId="150" fillId="0" borderId="83" xfId="2520" applyNumberFormat="1" applyFont="1" applyFill="1" applyBorder="1" applyAlignment="1">
      <alignment vertical="center" shrinkToFit="1"/>
    </xf>
    <xf numFmtId="41" fontId="150" fillId="0" borderId="84" xfId="2520" applyNumberFormat="1" applyFont="1" applyFill="1" applyBorder="1" applyAlignment="1">
      <alignment vertical="center" shrinkToFit="1"/>
    </xf>
    <xf numFmtId="41" fontId="150" fillId="0" borderId="33" xfId="2520" applyNumberFormat="1" applyFont="1" applyFill="1" applyBorder="1" applyAlignment="1">
      <alignment vertical="center" shrinkToFit="1"/>
    </xf>
    <xf numFmtId="41" fontId="150" fillId="0" borderId="110" xfId="2520" applyNumberFormat="1" applyFont="1" applyFill="1" applyBorder="1" applyAlignment="1">
      <alignment vertical="center" shrinkToFit="1"/>
    </xf>
    <xf numFmtId="41" fontId="150" fillId="0" borderId="114" xfId="2520" applyNumberFormat="1" applyFont="1" applyFill="1" applyBorder="1" applyAlignment="1">
      <alignment vertical="center" shrinkToFit="1"/>
    </xf>
    <xf numFmtId="41" fontId="150" fillId="0" borderId="115" xfId="2520" applyNumberFormat="1" applyFont="1" applyFill="1" applyBorder="1" applyAlignment="1">
      <alignment vertical="center" shrinkToFit="1"/>
    </xf>
    <xf numFmtId="0" fontId="51" fillId="0" borderId="0" xfId="2520" applyFont="1" applyFill="1" applyBorder="1" applyAlignment="1">
      <alignment vertical="center" shrinkToFit="1"/>
    </xf>
    <xf numFmtId="0" fontId="150" fillId="0" borderId="0" xfId="2520" applyFont="1" applyFill="1" applyBorder="1" applyAlignment="1">
      <alignment horizontal="center" vertical="center" shrinkToFit="1"/>
    </xf>
    <xf numFmtId="41" fontId="150" fillId="0" borderId="0" xfId="2520" applyNumberFormat="1" applyFont="1" applyFill="1" applyBorder="1" applyAlignment="1">
      <alignment vertical="center" shrinkToFit="1"/>
    </xf>
    <xf numFmtId="0" fontId="150" fillId="0" borderId="13" xfId="2520" applyFont="1" applyFill="1" applyBorder="1"/>
    <xf numFmtId="0" fontId="150" fillId="0" borderId="95" xfId="2520" applyFont="1" applyFill="1" applyBorder="1" applyAlignment="1">
      <alignment horizontal="distributed" vertical="center" shrinkToFit="1"/>
    </xf>
    <xf numFmtId="201" fontId="152" fillId="0" borderId="95" xfId="1958" applyNumberFormat="1" applyFont="1" applyFill="1" applyBorder="1" applyAlignment="1">
      <alignment vertical="center" shrinkToFit="1"/>
    </xf>
    <xf numFmtId="41" fontId="150" fillId="0" borderId="118" xfId="2520" applyNumberFormat="1" applyFont="1" applyFill="1" applyBorder="1" applyAlignment="1">
      <alignment vertical="center" shrinkToFit="1"/>
    </xf>
    <xf numFmtId="201" fontId="152" fillId="0" borderId="98" xfId="1958" applyNumberFormat="1" applyFont="1" applyFill="1" applyBorder="1" applyAlignment="1">
      <alignment vertical="center" shrinkToFit="1"/>
    </xf>
    <xf numFmtId="41" fontId="150" fillId="0" borderId="98" xfId="2520" applyNumberFormat="1" applyFont="1" applyFill="1" applyBorder="1" applyAlignment="1">
      <alignment vertical="center" shrinkToFit="1"/>
    </xf>
    <xf numFmtId="41" fontId="150" fillId="0" borderId="120" xfId="2520" applyNumberFormat="1" applyFont="1" applyFill="1" applyBorder="1" applyAlignment="1">
      <alignment vertical="center" shrinkToFit="1"/>
    </xf>
    <xf numFmtId="0" fontId="150" fillId="0" borderId="118" xfId="2520" applyNumberFormat="1" applyFont="1" applyFill="1" applyBorder="1" applyAlignment="1">
      <alignment horizontal="distributed" vertical="center" shrinkToFit="1"/>
    </xf>
    <xf numFmtId="0" fontId="150" fillId="0" borderId="118" xfId="2520" applyFont="1" applyFill="1" applyBorder="1" applyAlignment="1">
      <alignment horizontal="distributed" vertical="center" shrinkToFit="1"/>
    </xf>
    <xf numFmtId="0" fontId="150" fillId="0" borderId="118" xfId="2520" applyNumberFormat="1" applyFont="1" applyFill="1" applyBorder="1" applyAlignment="1">
      <alignment horizontal="distributed" vertical="center" wrapText="1" shrinkToFit="1"/>
    </xf>
    <xf numFmtId="0" fontId="150" fillId="0" borderId="118" xfId="2520" applyFont="1" applyFill="1" applyBorder="1" applyAlignment="1">
      <alignment horizontal="distributed" vertical="center" wrapText="1" shrinkToFit="1"/>
    </xf>
    <xf numFmtId="202" fontId="150" fillId="0" borderId="118" xfId="2520" applyNumberFormat="1" applyFont="1" applyFill="1" applyBorder="1" applyAlignment="1">
      <alignment horizontal="center" vertical="center" shrinkToFit="1"/>
    </xf>
    <xf numFmtId="0" fontId="150" fillId="0" borderId="114" xfId="2520" applyNumberFormat="1" applyFont="1" applyFill="1" applyBorder="1" applyAlignment="1">
      <alignment horizontal="distributed" vertical="center" shrinkToFit="1"/>
    </xf>
    <xf numFmtId="201" fontId="152" fillId="0" borderId="97" xfId="1958" applyNumberFormat="1" applyFont="1" applyFill="1" applyBorder="1" applyAlignment="1">
      <alignment vertical="center" shrinkToFit="1"/>
    </xf>
    <xf numFmtId="41" fontId="152" fillId="0" borderId="119" xfId="2557" applyNumberFormat="1" applyFont="1" applyFill="1" applyBorder="1" applyAlignment="1">
      <alignment horizontal="right" vertical="center" wrapText="1"/>
    </xf>
    <xf numFmtId="41" fontId="150" fillId="0" borderId="121" xfId="2520" applyNumberFormat="1" applyFont="1" applyFill="1" applyBorder="1" applyAlignment="1">
      <alignment vertical="center" shrinkToFit="1"/>
    </xf>
    <xf numFmtId="41" fontId="150" fillId="0" borderId="117" xfId="2520" applyNumberFormat="1" applyFont="1" applyFill="1" applyBorder="1" applyAlignment="1">
      <alignment vertical="center" shrinkToFit="1"/>
    </xf>
    <xf numFmtId="0" fontId="149" fillId="49" borderId="34" xfId="2520" applyFont="1" applyFill="1" applyBorder="1" applyAlignment="1">
      <alignment horizontal="distributed" vertical="center" shrinkToFit="1"/>
    </xf>
    <xf numFmtId="0" fontId="149" fillId="49" borderId="35" xfId="2520" applyFont="1" applyFill="1" applyBorder="1" applyAlignment="1">
      <alignment horizontal="distributed" vertical="center" shrinkToFit="1"/>
    </xf>
    <xf numFmtId="41" fontId="149" fillId="0" borderId="114" xfId="2520" applyNumberFormat="1" applyFont="1" applyFill="1" applyBorder="1" applyAlignment="1">
      <alignment vertical="center" shrinkToFit="1"/>
    </xf>
    <xf numFmtId="41" fontId="149" fillId="0" borderId="115" xfId="2520" applyNumberFormat="1" applyFont="1" applyFill="1" applyBorder="1" applyAlignment="1">
      <alignment vertical="center" shrinkToFit="1"/>
    </xf>
    <xf numFmtId="0" fontId="149" fillId="0" borderId="0" xfId="2520" applyFont="1" applyFill="1"/>
    <xf numFmtId="41" fontId="149" fillId="50" borderId="114" xfId="2520" applyNumberFormat="1" applyFont="1" applyFill="1" applyBorder="1" applyAlignment="1">
      <alignment vertical="center" shrinkToFit="1"/>
    </xf>
    <xf numFmtId="41" fontId="149" fillId="50" borderId="115" xfId="2520" applyNumberFormat="1" applyFont="1" applyFill="1" applyBorder="1" applyAlignment="1">
      <alignment vertical="center" shrinkToFit="1"/>
    </xf>
    <xf numFmtId="202" fontId="149" fillId="0" borderId="35" xfId="2520" applyNumberFormat="1" applyFont="1" applyFill="1" applyBorder="1" applyAlignment="1">
      <alignment horizontal="center" vertical="center" shrinkToFit="1"/>
    </xf>
    <xf numFmtId="202" fontId="149" fillId="0" borderId="35" xfId="2520" applyNumberFormat="1" applyFont="1" applyFill="1" applyBorder="1" applyAlignment="1">
      <alignment horizontal="right" vertical="center" shrinkToFit="1"/>
    </xf>
    <xf numFmtId="41" fontId="149" fillId="0" borderId="35" xfId="2520" applyNumberFormat="1" applyFont="1" applyFill="1" applyBorder="1" applyAlignment="1">
      <alignment vertical="center" shrinkToFit="1"/>
    </xf>
    <xf numFmtId="41" fontId="149" fillId="0" borderId="36" xfId="2520" applyNumberFormat="1" applyFont="1" applyFill="1" applyBorder="1" applyAlignment="1">
      <alignment vertical="center" shrinkToFit="1"/>
    </xf>
    <xf numFmtId="202" fontId="149" fillId="50" borderId="114" xfId="2520" applyNumberFormat="1" applyFont="1" applyFill="1" applyBorder="1" applyAlignment="1">
      <alignment horizontal="center" vertical="center" shrinkToFit="1"/>
    </xf>
    <xf numFmtId="202" fontId="149" fillId="50" borderId="114" xfId="2520" applyNumberFormat="1" applyFont="1" applyFill="1" applyBorder="1" applyAlignment="1">
      <alignment horizontal="right" vertical="center" shrinkToFit="1"/>
    </xf>
    <xf numFmtId="202" fontId="150" fillId="0" borderId="49" xfId="2520" applyNumberFormat="1" applyFont="1" applyBorder="1" applyAlignment="1">
      <alignment horizontal="center" vertical="center" shrinkToFit="1"/>
    </xf>
    <xf numFmtId="41" fontId="150" fillId="0" borderId="49" xfId="2520" applyNumberFormat="1" applyFont="1" applyBorder="1" applyAlignment="1">
      <alignment vertical="center" shrinkToFit="1"/>
    </xf>
    <xf numFmtId="202" fontId="150" fillId="0" borderId="118" xfId="2520" applyNumberFormat="1" applyFont="1" applyBorder="1" applyAlignment="1">
      <alignment horizontal="center" vertical="center" shrinkToFit="1"/>
    </xf>
    <xf numFmtId="41" fontId="150" fillId="0" borderId="118" xfId="2520" applyNumberFormat="1" applyFont="1" applyBorder="1" applyAlignment="1">
      <alignment vertical="center" shrinkToFit="1"/>
    </xf>
    <xf numFmtId="41" fontId="153" fillId="0" borderId="52" xfId="1961" applyFont="1" applyBorder="1">
      <alignment vertical="center"/>
    </xf>
    <xf numFmtId="202" fontId="150" fillId="0" borderId="111" xfId="2520" applyNumberFormat="1" applyFont="1" applyBorder="1" applyAlignment="1">
      <alignment horizontal="center" vertical="center" shrinkToFit="1"/>
    </xf>
    <xf numFmtId="41" fontId="150" fillId="0" borderId="111" xfId="2520" applyNumberFormat="1" applyFont="1" applyBorder="1" applyAlignment="1">
      <alignment vertical="center" shrinkToFit="1"/>
    </xf>
    <xf numFmtId="0" fontId="153" fillId="0" borderId="52" xfId="0" applyFont="1" applyBorder="1">
      <alignment vertical="center"/>
    </xf>
    <xf numFmtId="41" fontId="150" fillId="0" borderId="98" xfId="2520" applyNumberFormat="1" applyFont="1" applyBorder="1" applyAlignment="1">
      <alignment vertical="center" shrinkToFit="1"/>
    </xf>
    <xf numFmtId="41" fontId="150" fillId="0" borderId="122" xfId="2520" applyNumberFormat="1" applyFont="1" applyBorder="1" applyAlignment="1">
      <alignment vertical="center" shrinkToFit="1"/>
    </xf>
    <xf numFmtId="41" fontId="150" fillId="0" borderId="117" xfId="2520" applyNumberFormat="1" applyFont="1" applyBorder="1" applyAlignment="1">
      <alignment vertical="center" shrinkToFit="1"/>
    </xf>
    <xf numFmtId="41" fontId="150" fillId="0" borderId="125" xfId="2520" applyNumberFormat="1" applyFont="1" applyBorder="1" applyAlignment="1">
      <alignment vertical="center" shrinkToFit="1"/>
    </xf>
    <xf numFmtId="41" fontId="150" fillId="0" borderId="126" xfId="2520" applyNumberFormat="1" applyFont="1" applyBorder="1" applyAlignment="1">
      <alignment vertical="center" shrinkToFit="1"/>
    </xf>
    <xf numFmtId="41" fontId="150" fillId="0" borderId="116" xfId="2520" applyNumberFormat="1" applyFont="1" applyBorder="1" applyAlignment="1">
      <alignment vertical="center" shrinkToFit="1"/>
    </xf>
    <xf numFmtId="41" fontId="150" fillId="0" borderId="112" xfId="2520" applyNumberFormat="1" applyFont="1" applyBorder="1" applyAlignment="1">
      <alignment vertical="center" shrinkToFit="1"/>
    </xf>
    <xf numFmtId="41" fontId="150" fillId="0" borderId="128" xfId="2520" applyNumberFormat="1" applyFont="1" applyBorder="1" applyAlignment="1">
      <alignment vertical="center" shrinkToFit="1"/>
    </xf>
    <xf numFmtId="41" fontId="150" fillId="0" borderId="129" xfId="2520" applyNumberFormat="1" applyFont="1" applyBorder="1" applyAlignment="1">
      <alignment vertical="center" shrinkToFit="1"/>
    </xf>
    <xf numFmtId="0" fontId="150" fillId="0" borderId="128" xfId="2520" applyFont="1" applyBorder="1" applyAlignment="1">
      <alignment horizontal="center" vertical="center" shrinkToFit="1"/>
    </xf>
    <xf numFmtId="202" fontId="150" fillId="0" borderId="128" xfId="2520" applyNumberFormat="1" applyFont="1" applyBorder="1" applyAlignment="1">
      <alignment horizontal="right" vertical="center" shrinkToFit="1"/>
    </xf>
    <xf numFmtId="202" fontId="149" fillId="0" borderId="114" xfId="2520" applyNumberFormat="1" applyFont="1" applyBorder="1" applyAlignment="1">
      <alignment horizontal="center" vertical="center" shrinkToFit="1"/>
    </xf>
    <xf numFmtId="41" fontId="149" fillId="0" borderId="114" xfId="2520" applyNumberFormat="1" applyFont="1" applyBorder="1" applyAlignment="1">
      <alignment vertical="center" shrinkToFit="1"/>
    </xf>
    <xf numFmtId="41" fontId="149" fillId="0" borderId="115" xfId="2520" applyNumberFormat="1" applyFont="1" applyBorder="1" applyAlignment="1">
      <alignment vertical="center" shrinkToFit="1"/>
    </xf>
    <xf numFmtId="0" fontId="150" fillId="0" borderId="98" xfId="2520" applyFont="1" applyFill="1" applyBorder="1" applyAlignment="1">
      <alignment horizontal="left" vertical="center" shrinkToFit="1"/>
    </xf>
    <xf numFmtId="0" fontId="150" fillId="0" borderId="95" xfId="2520" applyFont="1" applyFill="1" applyBorder="1" applyAlignment="1">
      <alignment horizontal="left" vertical="center" shrinkToFit="1"/>
    </xf>
    <xf numFmtId="0" fontId="150" fillId="0" borderId="118" xfId="2520" applyNumberFormat="1" applyFont="1" applyFill="1" applyBorder="1" applyAlignment="1">
      <alignment horizontal="left" vertical="center" shrinkToFit="1"/>
    </xf>
    <xf numFmtId="0" fontId="150" fillId="0" borderId="118" xfId="2520" applyFont="1" applyFill="1" applyBorder="1" applyAlignment="1">
      <alignment horizontal="left" vertical="center" shrinkToFit="1"/>
    </xf>
    <xf numFmtId="0" fontId="150" fillId="0" borderId="118" xfId="2520" applyNumberFormat="1" applyFont="1" applyFill="1" applyBorder="1" applyAlignment="1">
      <alignment horizontal="left" vertical="center" wrapText="1" shrinkToFit="1"/>
    </xf>
    <xf numFmtId="0" fontId="150" fillId="0" borderId="118" xfId="2520" applyFont="1" applyFill="1" applyBorder="1" applyAlignment="1">
      <alignment horizontal="left" vertical="center" wrapText="1" shrinkToFit="1"/>
    </xf>
    <xf numFmtId="0" fontId="150" fillId="0" borderId="114" xfId="2520" applyNumberFormat="1" applyFont="1" applyFill="1" applyBorder="1" applyAlignment="1">
      <alignment horizontal="left" vertical="center" shrinkToFit="1"/>
    </xf>
    <xf numFmtId="0" fontId="150" fillId="0" borderId="98" xfId="2520" applyFont="1" applyBorder="1" applyAlignment="1">
      <alignment horizontal="left" vertical="center" wrapText="1" shrinkToFit="1"/>
    </xf>
    <xf numFmtId="0" fontId="150" fillId="0" borderId="118" xfId="2520" applyFont="1" applyBorder="1" applyAlignment="1">
      <alignment horizontal="left" vertical="center" wrapText="1" shrinkToFit="1"/>
    </xf>
    <xf numFmtId="0" fontId="150" fillId="0" borderId="118" xfId="2520" applyFont="1" applyBorder="1" applyAlignment="1">
      <alignment horizontal="left" vertical="center" shrinkToFit="1"/>
    </xf>
    <xf numFmtId="0" fontId="150" fillId="0" borderId="95" xfId="2520" applyFont="1" applyBorder="1" applyAlignment="1">
      <alignment horizontal="left" vertical="center" wrapText="1" shrinkToFit="1"/>
    </xf>
    <xf numFmtId="0" fontId="150" fillId="0" borderId="95" xfId="2520" applyFont="1" applyBorder="1" applyAlignment="1">
      <alignment horizontal="left" vertical="center" shrinkToFit="1"/>
    </xf>
    <xf numFmtId="0" fontId="150" fillId="0" borderId="95" xfId="2520" applyFont="1" applyBorder="1" applyAlignment="1">
      <alignment horizontal="left" vertical="center" wrapText="1"/>
    </xf>
    <xf numFmtId="0" fontId="153" fillId="0" borderId="95" xfId="0" applyFont="1" applyBorder="1" applyAlignment="1">
      <alignment horizontal="left" vertical="center"/>
    </xf>
    <xf numFmtId="0" fontId="153" fillId="0" borderId="111" xfId="0" applyFont="1" applyBorder="1" applyAlignment="1">
      <alignment horizontal="left" vertical="center"/>
    </xf>
    <xf numFmtId="202" fontId="150" fillId="0" borderId="30" xfId="2520" applyNumberFormat="1" applyFont="1" applyFill="1" applyBorder="1" applyAlignment="1">
      <alignment horizontal="right" vertical="center" shrinkToFit="1"/>
    </xf>
    <xf numFmtId="202" fontId="150" fillId="0" borderId="83" xfId="2520" applyNumberFormat="1" applyFont="1" applyFill="1" applyBorder="1" applyAlignment="1">
      <alignment horizontal="right" vertical="center" shrinkToFit="1"/>
    </xf>
    <xf numFmtId="202" fontId="150" fillId="0" borderId="33" xfId="2520" applyNumberFormat="1" applyFont="1" applyFill="1" applyBorder="1" applyAlignment="1">
      <alignment horizontal="right" vertical="center" shrinkToFit="1"/>
    </xf>
    <xf numFmtId="41" fontId="149" fillId="0" borderId="114" xfId="2520" applyNumberFormat="1" applyFont="1" applyFill="1" applyBorder="1" applyAlignment="1">
      <alignment horizontal="right" vertical="center" shrinkToFit="1"/>
    </xf>
    <xf numFmtId="41" fontId="140" fillId="0" borderId="118" xfId="2787" applyFont="1" applyBorder="1" applyAlignment="1">
      <alignment horizontal="center" vertical="center"/>
    </xf>
    <xf numFmtId="234" fontId="140" fillId="0" borderId="118" xfId="2787" applyNumberFormat="1" applyFont="1" applyBorder="1" applyAlignment="1">
      <alignment horizontal="center" vertical="center"/>
    </xf>
    <xf numFmtId="41" fontId="140" fillId="0" borderId="120" xfId="2787" applyFont="1" applyBorder="1" applyAlignment="1">
      <alignment horizontal="center" vertical="center"/>
    </xf>
    <xf numFmtId="234" fontId="140" fillId="0" borderId="120" xfId="2787" applyNumberFormat="1" applyFont="1" applyBorder="1" applyAlignment="1">
      <alignment horizontal="center" vertical="center"/>
    </xf>
    <xf numFmtId="41" fontId="140" fillId="0" borderId="118" xfId="2787" applyFont="1" applyBorder="1" applyAlignment="1">
      <alignment horizontal="left" vertical="center"/>
    </xf>
    <xf numFmtId="41" fontId="140" fillId="0" borderId="95" xfId="2787" applyFont="1" applyBorder="1" applyAlignment="1">
      <alignment horizontal="left" vertical="center"/>
    </xf>
    <xf numFmtId="41" fontId="140" fillId="48" borderId="95" xfId="2787" applyFont="1" applyFill="1" applyBorder="1" applyAlignment="1">
      <alignment horizontal="left" vertical="center"/>
    </xf>
    <xf numFmtId="41" fontId="140" fillId="48" borderId="94" xfId="2787" applyFont="1" applyFill="1" applyBorder="1" applyAlignment="1">
      <alignment horizontal="left" vertical="center"/>
    </xf>
    <xf numFmtId="41" fontId="140" fillId="0" borderId="94" xfId="2787" applyFont="1" applyBorder="1" applyAlignment="1">
      <alignment horizontal="left" vertical="center"/>
    </xf>
    <xf numFmtId="41" fontId="140" fillId="48" borderId="98" xfId="2787" applyFont="1" applyFill="1" applyBorder="1" applyAlignment="1">
      <alignment horizontal="left" vertical="center"/>
    </xf>
    <xf numFmtId="41" fontId="140" fillId="0" borderId="98" xfId="2787" applyFont="1" applyBorder="1" applyAlignment="1">
      <alignment horizontal="left" vertical="center"/>
    </xf>
    <xf numFmtId="41" fontId="140" fillId="48" borderId="86" xfId="2787" applyFont="1" applyFill="1" applyBorder="1" applyAlignment="1">
      <alignment horizontal="left" vertical="center"/>
    </xf>
    <xf numFmtId="41" fontId="140" fillId="0" borderId="86" xfId="2787" applyFont="1" applyBorder="1" applyAlignment="1">
      <alignment horizontal="left" vertical="center"/>
    </xf>
    <xf numFmtId="41" fontId="140" fillId="0" borderId="120" xfId="2787" applyFont="1" applyBorder="1" applyAlignment="1">
      <alignment horizontal="left" vertical="center"/>
    </xf>
    <xf numFmtId="41" fontId="140" fillId="0" borderId="88" xfId="2787" applyFont="1" applyBorder="1" applyAlignment="1">
      <alignment horizontal="left" vertical="center"/>
    </xf>
    <xf numFmtId="41" fontId="140" fillId="0" borderId="87" xfId="2787" applyFont="1" applyBorder="1" applyAlignment="1">
      <alignment horizontal="left" vertical="center"/>
    </xf>
    <xf numFmtId="41" fontId="140" fillId="0" borderId="100" xfId="2787" applyFont="1" applyBorder="1" applyAlignment="1">
      <alignment horizontal="left" vertical="center"/>
    </xf>
    <xf numFmtId="41" fontId="140" fillId="0" borderId="100" xfId="2787" applyFont="1" applyBorder="1" applyAlignment="1">
      <alignment horizontal="left" vertical="center" wrapText="1"/>
    </xf>
    <xf numFmtId="41" fontId="140" fillId="0" borderId="96" xfId="2787" applyFont="1" applyBorder="1" applyAlignment="1">
      <alignment horizontal="left" vertical="center"/>
    </xf>
    <xf numFmtId="41" fontId="140" fillId="0" borderId="99" xfId="2787" applyFont="1" applyBorder="1" applyAlignment="1">
      <alignment horizontal="left" vertical="center"/>
    </xf>
    <xf numFmtId="41" fontId="140" fillId="0" borderId="90" xfId="2787" applyFont="1" applyBorder="1" applyAlignment="1">
      <alignment horizontal="left" vertical="center"/>
    </xf>
    <xf numFmtId="41" fontId="145" fillId="49" borderId="128" xfId="2787" applyFont="1" applyFill="1" applyBorder="1" applyAlignment="1">
      <alignment horizontal="center" vertical="center"/>
    </xf>
    <xf numFmtId="41" fontId="145" fillId="50" borderId="105" xfId="2787" applyFont="1" applyFill="1" applyBorder="1" applyAlignment="1">
      <alignment horizontal="center" vertical="center"/>
    </xf>
    <xf numFmtId="41" fontId="140" fillId="50" borderId="97" xfId="2787" applyFont="1" applyFill="1" applyBorder="1" applyAlignment="1">
      <alignment horizontal="left" vertical="center"/>
    </xf>
    <xf numFmtId="41" fontId="140" fillId="50" borderId="97" xfId="2787" applyFont="1" applyFill="1" applyBorder="1" applyAlignment="1">
      <alignment horizontal="center" vertical="center"/>
    </xf>
    <xf numFmtId="41" fontId="140" fillId="50" borderId="106" xfId="2787" applyFont="1" applyFill="1" applyBorder="1" applyAlignment="1">
      <alignment horizontal="center" vertical="center"/>
    </xf>
    <xf numFmtId="234" fontId="140" fillId="50" borderId="97" xfId="2787" applyNumberFormat="1" applyFont="1" applyFill="1" applyBorder="1" applyAlignment="1">
      <alignment horizontal="center" vertical="center"/>
    </xf>
    <xf numFmtId="41" fontId="140" fillId="50" borderId="107" xfId="2787" applyFont="1" applyFill="1" applyBorder="1" applyAlignment="1">
      <alignment horizontal="left" vertical="center"/>
    </xf>
    <xf numFmtId="41" fontId="145" fillId="50" borderId="91" xfId="2787" applyFont="1" applyFill="1" applyBorder="1" applyAlignment="1">
      <alignment horizontal="center" vertical="center"/>
    </xf>
    <xf numFmtId="41" fontId="140" fillId="50" borderId="92" xfId="2787" applyFont="1" applyFill="1" applyBorder="1" applyAlignment="1">
      <alignment horizontal="left" vertical="center"/>
    </xf>
    <xf numFmtId="41" fontId="140" fillId="50" borderId="92" xfId="2787" applyFont="1" applyFill="1" applyBorder="1" applyAlignment="1">
      <alignment horizontal="center" vertical="center"/>
    </xf>
    <xf numFmtId="234" fontId="140" fillId="50" borderId="92" xfId="2787" applyNumberFormat="1" applyFont="1" applyFill="1" applyBorder="1" applyAlignment="1">
      <alignment horizontal="center" vertical="center"/>
    </xf>
    <xf numFmtId="41" fontId="140" fillId="50" borderId="93" xfId="2787" applyFont="1" applyFill="1" applyBorder="1" applyAlignment="1">
      <alignment horizontal="left" vertical="center"/>
    </xf>
    <xf numFmtId="0" fontId="150" fillId="0" borderId="120" xfId="2520" applyFont="1" applyFill="1" applyBorder="1" applyAlignment="1">
      <alignment horizontal="left" vertical="center" shrinkToFit="1"/>
    </xf>
    <xf numFmtId="0" fontId="152" fillId="0" borderId="118" xfId="2557" applyFont="1" applyFill="1" applyBorder="1" applyAlignment="1">
      <alignment horizontal="center" vertical="center" shrinkToFit="1"/>
    </xf>
    <xf numFmtId="0" fontId="150" fillId="0" borderId="118" xfId="2557" applyFont="1" applyFill="1" applyBorder="1" applyAlignment="1">
      <alignment horizontal="center" vertical="center" shrinkToFit="1"/>
    </xf>
    <xf numFmtId="0" fontId="152" fillId="0" borderId="114" xfId="2557" applyFont="1" applyFill="1" applyBorder="1" applyAlignment="1">
      <alignment horizontal="center" vertical="center" shrinkToFit="1"/>
    </xf>
    <xf numFmtId="0" fontId="152" fillId="0" borderId="120" xfId="2557" applyFont="1" applyFill="1" applyBorder="1" applyAlignment="1">
      <alignment horizontal="left" vertical="center" shrinkToFit="1"/>
    </xf>
    <xf numFmtId="0" fontId="152" fillId="0" borderId="118" xfId="2557" applyFont="1" applyFill="1" applyBorder="1" applyAlignment="1">
      <alignment horizontal="left" vertical="center" shrinkToFit="1"/>
    </xf>
    <xf numFmtId="0" fontId="150" fillId="0" borderId="118" xfId="2557" applyFont="1" applyFill="1" applyBorder="1" applyAlignment="1">
      <alignment horizontal="left" vertical="center" shrinkToFit="1"/>
    </xf>
    <xf numFmtId="202" fontId="150" fillId="0" borderId="118" xfId="2520" applyNumberFormat="1" applyFont="1" applyFill="1" applyBorder="1" applyAlignment="1">
      <alignment horizontal="left" vertical="center" shrinkToFit="1"/>
    </xf>
    <xf numFmtId="0" fontId="152" fillId="0" borderId="114" xfId="2557" applyFont="1" applyFill="1" applyBorder="1" applyAlignment="1">
      <alignment horizontal="left" vertical="center" shrinkToFit="1"/>
    </xf>
    <xf numFmtId="202" fontId="150" fillId="0" borderId="98" xfId="2520" applyNumberFormat="1" applyFont="1" applyBorder="1" applyAlignment="1">
      <alignment horizontal="left" vertical="center" shrinkToFit="1"/>
    </xf>
    <xf numFmtId="202" fontId="150" fillId="0" borderId="118" xfId="2520" applyNumberFormat="1" applyFont="1" applyBorder="1" applyAlignment="1">
      <alignment horizontal="left" vertical="center" shrinkToFit="1"/>
    </xf>
    <xf numFmtId="202" fontId="150" fillId="0" borderId="95" xfId="2520" applyNumberFormat="1" applyFont="1" applyBorder="1" applyAlignment="1">
      <alignment horizontal="left" vertical="center" shrinkToFit="1"/>
    </xf>
    <xf numFmtId="0" fontId="152" fillId="0" borderId="95" xfId="2557" applyFont="1" applyBorder="1" applyAlignment="1">
      <alignment horizontal="left" vertical="distributed" shrinkToFit="1"/>
    </xf>
    <xf numFmtId="0" fontId="152" fillId="0" borderId="98" xfId="2557" applyFont="1" applyFill="1" applyBorder="1" applyAlignment="1">
      <alignment horizontal="left" vertical="center" shrinkToFit="1"/>
    </xf>
    <xf numFmtId="3" fontId="45" fillId="10" borderId="18" xfId="2564" applyNumberFormat="1" applyFont="1" applyFill="1" applyBorder="1" applyAlignment="1">
      <alignment horizontal="center" vertical="center"/>
    </xf>
    <xf numFmtId="0" fontId="144" fillId="0" borderId="0" xfId="2788" applyFont="1">
      <alignment vertical="center"/>
    </xf>
    <xf numFmtId="0" fontId="140" fillId="0" borderId="30" xfId="2788" applyFont="1" applyBorder="1">
      <alignment vertical="center"/>
    </xf>
    <xf numFmtId="41" fontId="140" fillId="0" borderId="30" xfId="2789" applyFont="1" applyBorder="1" applyAlignment="1">
      <alignment horizontal="right" vertical="center"/>
    </xf>
    <xf numFmtId="9" fontId="140" fillId="0" borderId="30" xfId="2790" applyFont="1" applyBorder="1" applyAlignment="1">
      <alignment horizontal="right" vertical="center"/>
    </xf>
    <xf numFmtId="0" fontId="140" fillId="0" borderId="81" xfId="2788" applyFont="1" applyBorder="1" applyAlignment="1">
      <alignment horizontal="left" vertical="center"/>
    </xf>
    <xf numFmtId="0" fontId="140" fillId="0" borderId="125" xfId="2788" applyFont="1" applyBorder="1">
      <alignment vertical="center"/>
    </xf>
    <xf numFmtId="41" fontId="140" fillId="0" borderId="125" xfId="2789" applyFont="1" applyBorder="1" applyAlignment="1">
      <alignment horizontal="right" vertical="center"/>
    </xf>
    <xf numFmtId="9" fontId="140" fillId="0" borderId="125" xfId="2790" applyFont="1" applyBorder="1" applyAlignment="1">
      <alignment horizontal="right" vertical="center"/>
    </xf>
    <xf numFmtId="0" fontId="140" fillId="0" borderId="126" xfId="2788" applyFont="1" applyBorder="1" applyAlignment="1">
      <alignment horizontal="left" vertical="center"/>
    </xf>
    <xf numFmtId="0" fontId="140" fillId="0" borderId="14" xfId="2788" applyFont="1" applyBorder="1">
      <alignment vertical="center"/>
    </xf>
    <xf numFmtId="41" fontId="140" fillId="0" borderId="14" xfId="2789" applyFont="1" applyBorder="1" applyAlignment="1">
      <alignment horizontal="right" vertical="center"/>
    </xf>
    <xf numFmtId="9" fontId="140" fillId="0" borderId="14" xfId="2790" applyFont="1" applyBorder="1" applyAlignment="1">
      <alignment horizontal="right" vertical="center"/>
    </xf>
    <xf numFmtId="0" fontId="140" fillId="0" borderId="29" xfId="2788" applyFont="1" applyBorder="1" applyAlignment="1">
      <alignment horizontal="left" vertical="center"/>
    </xf>
    <xf numFmtId="41" fontId="140" fillId="51" borderId="143" xfId="2789" applyFont="1" applyFill="1" applyBorder="1" applyAlignment="1">
      <alignment horizontal="right" vertical="center"/>
    </xf>
    <xf numFmtId="233" fontId="140" fillId="51" borderId="143" xfId="2790" applyNumberFormat="1" applyFont="1" applyFill="1" applyBorder="1" applyAlignment="1">
      <alignment horizontal="right" vertical="center"/>
    </xf>
    <xf numFmtId="0" fontId="140" fillId="51" borderId="144" xfId="2788" applyFont="1" applyFill="1" applyBorder="1" applyAlignment="1">
      <alignment horizontal="left" vertical="center"/>
    </xf>
    <xf numFmtId="0" fontId="140" fillId="0" borderId="146" xfId="2788" applyFont="1" applyBorder="1">
      <alignment vertical="center"/>
    </xf>
    <xf numFmtId="41" fontId="140" fillId="0" borderId="146" xfId="2789" applyFont="1" applyBorder="1" applyAlignment="1">
      <alignment horizontal="right" vertical="center"/>
    </xf>
    <xf numFmtId="9" fontId="140" fillId="0" borderId="146" xfId="2790" applyFont="1" applyBorder="1" applyAlignment="1">
      <alignment horizontal="right" vertical="center"/>
    </xf>
    <xf numFmtId="0" fontId="140" fillId="0" borderId="147" xfId="2788" applyFont="1" applyBorder="1" applyAlignment="1">
      <alignment horizontal="left" vertical="top" wrapText="1"/>
    </xf>
    <xf numFmtId="41" fontId="140" fillId="0" borderId="143" xfId="2789" applyFont="1" applyBorder="1" applyAlignment="1">
      <alignment horizontal="right" vertical="center"/>
    </xf>
    <xf numFmtId="9" fontId="140" fillId="0" borderId="143" xfId="2790" applyFont="1" applyBorder="1" applyAlignment="1">
      <alignment horizontal="right" vertical="center"/>
    </xf>
    <xf numFmtId="0" fontId="140" fillId="0" borderId="144" xfId="2788" applyFont="1" applyBorder="1" applyAlignment="1">
      <alignment horizontal="left" vertical="center"/>
    </xf>
    <xf numFmtId="41" fontId="140" fillId="0" borderId="151" xfId="2789" applyFont="1" applyBorder="1" applyAlignment="1">
      <alignment horizontal="right" vertical="center"/>
    </xf>
    <xf numFmtId="9" fontId="140" fillId="0" borderId="151" xfId="2790" applyFont="1" applyBorder="1" applyAlignment="1">
      <alignment horizontal="right" vertical="center"/>
    </xf>
    <xf numFmtId="0" fontId="140" fillId="0" borderId="152" xfId="2788" applyFont="1" applyBorder="1" applyAlignment="1">
      <alignment horizontal="left" vertical="center"/>
    </xf>
    <xf numFmtId="0" fontId="144" fillId="0" borderId="0" xfId="2788" applyFont="1" applyAlignment="1">
      <alignment horizontal="center" vertical="center"/>
    </xf>
    <xf numFmtId="41" fontId="140" fillId="50" borderId="125" xfId="2789" applyFont="1" applyFill="1" applyBorder="1" applyAlignment="1">
      <alignment horizontal="right" vertical="center"/>
    </xf>
    <xf numFmtId="233" fontId="140" fillId="50" borderId="125" xfId="2790" applyNumberFormat="1" applyFont="1" applyFill="1" applyBorder="1" applyAlignment="1">
      <alignment horizontal="right" vertical="center"/>
    </xf>
    <xf numFmtId="0" fontId="140" fillId="50" borderId="126" xfId="2788" applyFont="1" applyFill="1" applyBorder="1" applyAlignment="1">
      <alignment horizontal="left" vertical="center"/>
    </xf>
    <xf numFmtId="0" fontId="156" fillId="49" borderId="35" xfId="2788" applyFont="1" applyFill="1" applyBorder="1" applyAlignment="1">
      <alignment horizontal="center" vertical="center"/>
    </xf>
    <xf numFmtId="0" fontId="156" fillId="49" borderId="35" xfId="2788" applyFont="1" applyFill="1" applyBorder="1" applyAlignment="1">
      <alignment horizontal="center" vertical="center" wrapText="1"/>
    </xf>
    <xf numFmtId="0" fontId="156" fillId="49" borderId="36" xfId="2788" applyFont="1" applyFill="1" applyBorder="1" applyAlignment="1">
      <alignment horizontal="center" vertical="center"/>
    </xf>
    <xf numFmtId="0" fontId="144" fillId="0" borderId="0" xfId="2788" applyFont="1" applyFill="1">
      <alignment vertical="center"/>
    </xf>
    <xf numFmtId="41" fontId="144" fillId="0" borderId="0" xfId="2789" applyFont="1" applyFill="1">
      <alignment vertical="center"/>
    </xf>
    <xf numFmtId="41" fontId="144" fillId="0" borderId="0" xfId="2788" applyNumberFormat="1" applyFont="1" applyFill="1">
      <alignment vertical="center"/>
    </xf>
    <xf numFmtId="41" fontId="140" fillId="52" borderId="151" xfId="2789" applyFont="1" applyFill="1" applyBorder="1" applyAlignment="1">
      <alignment horizontal="right" vertical="center"/>
    </xf>
    <xf numFmtId="233" fontId="140" fillId="52" borderId="151" xfId="2790" applyNumberFormat="1" applyFont="1" applyFill="1" applyBorder="1" applyAlignment="1">
      <alignment horizontal="right" vertical="center"/>
    </xf>
    <xf numFmtId="0" fontId="140" fillId="52" borderId="152" xfId="2788" applyFont="1" applyFill="1" applyBorder="1" applyAlignment="1">
      <alignment horizontal="left" vertical="center"/>
    </xf>
    <xf numFmtId="41" fontId="140" fillId="52" borderId="114" xfId="2789" applyFont="1" applyFill="1" applyBorder="1" applyAlignment="1">
      <alignment horizontal="right" vertical="center"/>
    </xf>
    <xf numFmtId="233" fontId="140" fillId="52" borderId="114" xfId="2790" applyNumberFormat="1" applyFont="1" applyFill="1" applyBorder="1" applyAlignment="1">
      <alignment horizontal="right" vertical="center"/>
    </xf>
    <xf numFmtId="0" fontId="140" fillId="52" borderId="115" xfId="2788" applyFont="1" applyFill="1" applyBorder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156" fillId="0" borderId="150" xfId="2788" applyFont="1" applyBorder="1" applyAlignment="1">
      <alignment horizontal="center" vertical="center"/>
    </xf>
    <xf numFmtId="0" fontId="156" fillId="0" borderId="151" xfId="2788" applyFont="1" applyBorder="1" applyAlignment="1">
      <alignment horizontal="center" vertical="center"/>
    </xf>
    <xf numFmtId="0" fontId="156" fillId="52" borderId="113" xfId="2788" applyFont="1" applyFill="1" applyBorder="1" applyAlignment="1">
      <alignment horizontal="center" vertical="center"/>
    </xf>
    <xf numFmtId="0" fontId="156" fillId="52" borderId="114" xfId="2788" applyFont="1" applyFill="1" applyBorder="1" applyAlignment="1">
      <alignment horizontal="center" vertical="center"/>
    </xf>
    <xf numFmtId="0" fontId="156" fillId="50" borderId="124" xfId="2788" applyFont="1" applyFill="1" applyBorder="1" applyAlignment="1">
      <alignment horizontal="center" vertical="center"/>
    </xf>
    <xf numFmtId="0" fontId="156" fillId="50" borderId="125" xfId="2788" applyFont="1" applyFill="1" applyBorder="1" applyAlignment="1">
      <alignment horizontal="center" vertical="center"/>
    </xf>
    <xf numFmtId="0" fontId="156" fillId="51" borderId="142" xfId="2788" applyFont="1" applyFill="1" applyBorder="1" applyAlignment="1">
      <alignment horizontal="center" vertical="center" wrapText="1"/>
    </xf>
    <xf numFmtId="0" fontId="156" fillId="51" borderId="143" xfId="2788" applyFont="1" applyFill="1" applyBorder="1" applyAlignment="1">
      <alignment horizontal="center" vertical="center" wrapText="1"/>
    </xf>
    <xf numFmtId="0" fontId="156" fillId="0" borderId="145" xfId="2788" applyFont="1" applyBorder="1" applyAlignment="1">
      <alignment horizontal="center" vertical="center" textRotation="255"/>
    </xf>
    <xf numFmtId="0" fontId="156" fillId="0" borderId="124" xfId="2788" applyFont="1" applyBorder="1" applyAlignment="1">
      <alignment horizontal="center" vertical="center" textRotation="255"/>
    </xf>
    <xf numFmtId="0" fontId="156" fillId="0" borderId="148" xfId="2788" applyFont="1" applyBorder="1" applyAlignment="1">
      <alignment horizontal="center" vertical="center"/>
    </xf>
    <xf numFmtId="0" fontId="156" fillId="0" borderId="149" xfId="2788" applyFont="1" applyBorder="1" applyAlignment="1">
      <alignment horizontal="center" vertical="center"/>
    </xf>
    <xf numFmtId="0" fontId="156" fillId="52" borderId="150" xfId="2788" applyFont="1" applyFill="1" applyBorder="1" applyAlignment="1">
      <alignment horizontal="center" vertical="center"/>
    </xf>
    <xf numFmtId="0" fontId="156" fillId="52" borderId="151" xfId="2788" applyFont="1" applyFill="1" applyBorder="1" applyAlignment="1">
      <alignment horizontal="center" vertical="center"/>
    </xf>
    <xf numFmtId="0" fontId="156" fillId="0" borderId="141" xfId="2788" applyFont="1" applyBorder="1" applyAlignment="1">
      <alignment horizontal="center" vertical="center" textRotation="255"/>
    </xf>
    <xf numFmtId="0" fontId="141" fillId="0" borderId="0" xfId="2788" applyFont="1" applyAlignment="1">
      <alignment horizontal="center" vertical="center"/>
    </xf>
    <xf numFmtId="14" fontId="144" fillId="0" borderId="7" xfId="2788" applyNumberFormat="1" applyFont="1" applyBorder="1" applyAlignment="1">
      <alignment horizontal="right" vertical="center"/>
    </xf>
    <xf numFmtId="0" fontId="156" fillId="49" borderId="34" xfId="2788" applyFont="1" applyFill="1" applyBorder="1" applyAlignment="1">
      <alignment horizontal="center" vertical="center"/>
    </xf>
    <xf numFmtId="0" fontId="156" fillId="49" borderId="35" xfId="2788" applyFont="1" applyFill="1" applyBorder="1" applyAlignment="1">
      <alignment horizontal="center" vertical="center"/>
    </xf>
    <xf numFmtId="0" fontId="156" fillId="0" borderId="138" xfId="2788" applyFont="1" applyBorder="1" applyAlignment="1">
      <alignment horizontal="center" vertical="center" textRotation="255"/>
    </xf>
    <xf numFmtId="0" fontId="156" fillId="0" borderId="139" xfId="2788" applyFont="1" applyBorder="1" applyAlignment="1">
      <alignment horizontal="center" vertical="center" textRotation="255"/>
    </xf>
    <xf numFmtId="0" fontId="156" fillId="0" borderId="140" xfId="2788" applyFont="1" applyBorder="1" applyAlignment="1">
      <alignment horizontal="center" vertical="center" textRotation="255"/>
    </xf>
    <xf numFmtId="0" fontId="46" fillId="10" borderId="2" xfId="2564" applyFont="1" applyFill="1" applyBorder="1" applyAlignment="1">
      <alignment horizontal="center" vertical="center"/>
    </xf>
    <xf numFmtId="41" fontId="46" fillId="0" borderId="53" xfId="1958" applyFont="1" applyFill="1" applyBorder="1" applyAlignment="1">
      <alignment horizontal="center" vertical="center"/>
    </xf>
    <xf numFmtId="41" fontId="46" fillId="0" borderId="13" xfId="1958" applyFont="1" applyFill="1" applyBorder="1" applyAlignment="1">
      <alignment horizontal="center" vertical="center"/>
    </xf>
    <xf numFmtId="41" fontId="46" fillId="0" borderId="54" xfId="1958" applyFont="1" applyFill="1" applyBorder="1" applyAlignment="1">
      <alignment horizontal="center" vertical="center"/>
    </xf>
    <xf numFmtId="0" fontId="46" fillId="0" borderId="50" xfId="2564" applyFont="1" applyFill="1" applyBorder="1" applyAlignment="1">
      <alignment horizontal="center" vertical="center"/>
    </xf>
    <xf numFmtId="41" fontId="46" fillId="0" borderId="2" xfId="1958" applyFont="1" applyFill="1" applyBorder="1" applyAlignment="1">
      <alignment horizontal="center" vertical="center"/>
    </xf>
    <xf numFmtId="0" fontId="46" fillId="0" borderId="2" xfId="2564" applyFont="1" applyFill="1" applyBorder="1" applyAlignment="1">
      <alignment horizontal="center" vertical="center"/>
    </xf>
    <xf numFmtId="10" fontId="46" fillId="10" borderId="49" xfId="1822" applyNumberFormat="1" applyFont="1" applyFill="1" applyBorder="1" applyAlignment="1">
      <alignment horizontal="center" vertical="center"/>
    </xf>
    <xf numFmtId="10" fontId="46" fillId="10" borderId="55" xfId="1822" applyNumberFormat="1" applyFont="1" applyFill="1" applyBorder="1" applyAlignment="1">
      <alignment horizontal="center" vertical="center" shrinkToFit="1"/>
    </xf>
    <xf numFmtId="10" fontId="46" fillId="10" borderId="56" xfId="1822" applyNumberFormat="1" applyFont="1" applyFill="1" applyBorder="1" applyAlignment="1">
      <alignment horizontal="center" vertical="center" shrinkToFit="1"/>
    </xf>
    <xf numFmtId="10" fontId="46" fillId="10" borderId="57" xfId="1822" applyNumberFormat="1" applyFont="1" applyFill="1" applyBorder="1" applyAlignment="1">
      <alignment horizontal="center" vertical="center" shrinkToFit="1"/>
    </xf>
    <xf numFmtId="41" fontId="46" fillId="10" borderId="55" xfId="1958" applyFont="1" applyFill="1" applyBorder="1" applyAlignment="1">
      <alignment vertical="center" shrinkToFit="1"/>
    </xf>
    <xf numFmtId="41" fontId="46" fillId="10" borderId="56" xfId="1958" applyFont="1" applyFill="1" applyBorder="1" applyAlignment="1">
      <alignment vertical="center" shrinkToFit="1"/>
    </xf>
    <xf numFmtId="41" fontId="46" fillId="10" borderId="57" xfId="1958" applyFont="1" applyFill="1" applyBorder="1" applyAlignment="1">
      <alignment vertical="center" shrinkToFit="1"/>
    </xf>
    <xf numFmtId="41" fontId="46" fillId="10" borderId="24" xfId="1958" applyFont="1" applyFill="1" applyBorder="1" applyAlignment="1">
      <alignment vertical="center"/>
    </xf>
    <xf numFmtId="41" fontId="46" fillId="10" borderId="0" xfId="1958" applyFont="1" applyFill="1" applyBorder="1" applyAlignment="1">
      <alignment vertical="center"/>
    </xf>
    <xf numFmtId="41" fontId="46" fillId="10" borderId="25" xfId="1958" applyFont="1" applyFill="1" applyBorder="1" applyAlignment="1">
      <alignment vertical="center"/>
    </xf>
    <xf numFmtId="10" fontId="46" fillId="10" borderId="27" xfId="1822" applyNumberFormat="1" applyFont="1" applyFill="1" applyBorder="1" applyAlignment="1">
      <alignment horizontal="center" vertical="center" shrinkToFit="1"/>
    </xf>
    <xf numFmtId="10" fontId="46" fillId="10" borderId="6" xfId="1822" applyNumberFormat="1" applyFont="1" applyFill="1" applyBorder="1" applyAlignment="1">
      <alignment horizontal="center" vertical="center" shrinkToFit="1"/>
    </xf>
    <xf numFmtId="10" fontId="46" fillId="10" borderId="28" xfId="1822" applyNumberFormat="1" applyFont="1" applyFill="1" applyBorder="1" applyAlignment="1">
      <alignment horizontal="center" vertical="center" shrinkToFit="1"/>
    </xf>
    <xf numFmtId="10" fontId="46" fillId="10" borderId="52" xfId="1822" applyNumberFormat="1" applyFont="1" applyFill="1" applyBorder="1" applyAlignment="1">
      <alignment horizontal="center" vertical="center"/>
    </xf>
    <xf numFmtId="41" fontId="46" fillId="10" borderId="58" xfId="1958" applyFont="1" applyFill="1" applyBorder="1" applyAlignment="1">
      <alignment vertical="center" shrinkToFit="1"/>
    </xf>
    <xf numFmtId="41" fontId="46" fillId="10" borderId="59" xfId="1958" applyFont="1" applyFill="1" applyBorder="1" applyAlignment="1">
      <alignment vertical="center" shrinkToFit="1"/>
    </xf>
    <xf numFmtId="41" fontId="46" fillId="10" borderId="60" xfId="1958" applyFont="1" applyFill="1" applyBorder="1" applyAlignment="1">
      <alignment vertical="center" shrinkToFit="1"/>
    </xf>
    <xf numFmtId="10" fontId="46" fillId="10" borderId="24" xfId="1822" applyNumberFormat="1" applyFont="1" applyFill="1" applyBorder="1" applyAlignment="1">
      <alignment horizontal="center" vertical="center" shrinkToFit="1"/>
    </xf>
    <xf numFmtId="10" fontId="46" fillId="10" borderId="0" xfId="1822" applyNumberFormat="1" applyFont="1" applyFill="1" applyBorder="1" applyAlignment="1">
      <alignment horizontal="center" vertical="center" shrinkToFit="1"/>
    </xf>
    <xf numFmtId="10" fontId="46" fillId="10" borderId="25" xfId="1822" applyNumberFormat="1" applyFont="1" applyFill="1" applyBorder="1" applyAlignment="1">
      <alignment horizontal="center" vertical="center" shrinkToFit="1"/>
    </xf>
    <xf numFmtId="41" fontId="46" fillId="0" borderId="55" xfId="1958" applyFont="1" applyFill="1" applyBorder="1" applyAlignment="1">
      <alignment vertical="center"/>
    </xf>
    <xf numFmtId="41" fontId="46" fillId="0" borderId="56" xfId="1958" applyFont="1" applyFill="1" applyBorder="1" applyAlignment="1">
      <alignment vertical="center"/>
    </xf>
    <xf numFmtId="41" fontId="46" fillId="0" borderId="57" xfId="1958" applyFont="1" applyFill="1" applyBorder="1" applyAlignment="1">
      <alignment vertical="center"/>
    </xf>
    <xf numFmtId="41" fontId="46" fillId="10" borderId="17" xfId="1958" applyFont="1" applyFill="1" applyBorder="1" applyAlignment="1">
      <alignment vertical="center" shrinkToFit="1"/>
    </xf>
    <xf numFmtId="41" fontId="46" fillId="10" borderId="20" xfId="1958" applyFont="1" applyFill="1" applyBorder="1" applyAlignment="1">
      <alignment vertical="center" shrinkToFit="1"/>
    </xf>
    <xf numFmtId="41" fontId="46" fillId="10" borderId="12" xfId="1958" applyFont="1" applyFill="1" applyBorder="1" applyAlignment="1">
      <alignment vertical="center" shrinkToFit="1"/>
    </xf>
    <xf numFmtId="0" fontId="46" fillId="10" borderId="27" xfId="2564" applyFont="1" applyFill="1" applyBorder="1" applyAlignment="1">
      <alignment horizontal="center" vertical="center"/>
    </xf>
    <xf numFmtId="0" fontId="46" fillId="10" borderId="6" xfId="2564" applyFont="1" applyFill="1" applyBorder="1" applyAlignment="1">
      <alignment horizontal="center" vertical="center"/>
    </xf>
    <xf numFmtId="0" fontId="46" fillId="10" borderId="28" xfId="2564" applyFont="1" applyFill="1" applyBorder="1" applyAlignment="1">
      <alignment horizontal="center" vertical="center"/>
    </xf>
    <xf numFmtId="233" fontId="46" fillId="10" borderId="2" xfId="2564" applyNumberFormat="1" applyFont="1" applyFill="1" applyBorder="1" applyAlignment="1">
      <alignment vertical="center"/>
    </xf>
    <xf numFmtId="3" fontId="46" fillId="0" borderId="27" xfId="2564" applyNumberFormat="1" applyFont="1" applyFill="1" applyBorder="1" applyAlignment="1">
      <alignment vertical="center" wrapText="1"/>
    </xf>
    <xf numFmtId="3" fontId="46" fillId="0" borderId="6" xfId="2564" applyNumberFormat="1" applyFont="1" applyFill="1" applyBorder="1" applyAlignment="1">
      <alignment vertical="center" wrapText="1"/>
    </xf>
    <xf numFmtId="3" fontId="46" fillId="0" borderId="28" xfId="2564" applyNumberFormat="1" applyFont="1" applyFill="1" applyBorder="1" applyAlignment="1">
      <alignment vertical="center" wrapText="1"/>
    </xf>
    <xf numFmtId="3" fontId="52" fillId="0" borderId="133" xfId="2564" applyNumberFormat="1" applyFont="1" applyFill="1" applyBorder="1" applyAlignment="1">
      <alignment vertical="center"/>
    </xf>
    <xf numFmtId="3" fontId="52" fillId="0" borderId="134" xfId="2564" applyNumberFormat="1" applyFont="1" applyFill="1" applyBorder="1" applyAlignment="1">
      <alignment vertical="center"/>
    </xf>
    <xf numFmtId="3" fontId="52" fillId="0" borderId="135" xfId="2564" applyNumberFormat="1" applyFont="1" applyFill="1" applyBorder="1" applyAlignment="1">
      <alignment vertical="center"/>
    </xf>
    <xf numFmtId="3" fontId="52" fillId="0" borderId="133" xfId="2564" applyNumberFormat="1" applyFont="1" applyFill="1" applyBorder="1" applyAlignment="1">
      <alignment vertical="center" wrapText="1"/>
    </xf>
    <xf numFmtId="3" fontId="52" fillId="0" borderId="134" xfId="2564" applyNumberFormat="1" applyFont="1" applyFill="1" applyBorder="1" applyAlignment="1">
      <alignment vertical="center" wrapText="1"/>
    </xf>
    <xf numFmtId="3" fontId="52" fillId="0" borderId="135" xfId="2564" applyNumberFormat="1" applyFont="1" applyFill="1" applyBorder="1" applyAlignment="1">
      <alignment vertical="center" wrapText="1"/>
    </xf>
    <xf numFmtId="0" fontId="46" fillId="0" borderId="101" xfId="2564" applyFont="1" applyFill="1" applyBorder="1" applyAlignment="1">
      <alignment horizontal="center" vertical="center"/>
    </xf>
    <xf numFmtId="0" fontId="46" fillId="0" borderId="102" xfId="2564" applyFont="1" applyFill="1" applyBorder="1" applyAlignment="1">
      <alignment horizontal="center" vertical="center"/>
    </xf>
    <xf numFmtId="0" fontId="46" fillId="0" borderId="103" xfId="2564" applyFont="1" applyFill="1" applyBorder="1" applyAlignment="1">
      <alignment horizontal="center" vertical="center"/>
    </xf>
    <xf numFmtId="3" fontId="46" fillId="0" borderId="53" xfId="2564" applyNumberFormat="1" applyFont="1" applyFill="1" applyBorder="1" applyAlignment="1">
      <alignment vertical="center" wrapText="1"/>
    </xf>
    <xf numFmtId="3" fontId="46" fillId="0" borderId="13" xfId="2564" applyNumberFormat="1" applyFont="1" applyFill="1" applyBorder="1" applyAlignment="1">
      <alignment vertical="center" wrapText="1"/>
    </xf>
    <xf numFmtId="3" fontId="46" fillId="0" borderId="54" xfId="2564" applyNumberFormat="1" applyFont="1" applyFill="1" applyBorder="1" applyAlignment="1">
      <alignment vertical="center" wrapText="1"/>
    </xf>
    <xf numFmtId="3" fontId="46" fillId="0" borderId="123" xfId="2564" applyNumberFormat="1" applyFont="1" applyFill="1" applyBorder="1" applyAlignment="1">
      <alignment vertical="center" wrapText="1"/>
    </xf>
    <xf numFmtId="3" fontId="46" fillId="0" borderId="137" xfId="2564" applyNumberFormat="1" applyFont="1" applyFill="1" applyBorder="1" applyAlignment="1">
      <alignment vertical="center" wrapText="1"/>
    </xf>
    <xf numFmtId="3" fontId="46" fillId="0" borderId="130" xfId="2564" applyNumberFormat="1" applyFont="1" applyFill="1" applyBorder="1" applyAlignment="1">
      <alignment vertical="center" wrapText="1"/>
    </xf>
    <xf numFmtId="3" fontId="52" fillId="0" borderId="2" xfId="2564" applyNumberFormat="1" applyFont="1" applyFill="1" applyBorder="1" applyAlignment="1">
      <alignment vertical="center"/>
    </xf>
    <xf numFmtId="0" fontId="52" fillId="0" borderId="2" xfId="2564" applyFont="1" applyFill="1" applyBorder="1" applyAlignment="1">
      <alignment horizontal="center" vertical="center"/>
    </xf>
    <xf numFmtId="3" fontId="52" fillId="0" borderId="53" xfId="2564" applyNumberFormat="1" applyFont="1" applyFill="1" applyBorder="1" applyAlignment="1">
      <alignment vertical="center" wrapText="1"/>
    </xf>
    <xf numFmtId="3" fontId="52" fillId="0" borderId="13" xfId="2564" applyNumberFormat="1" applyFont="1" applyFill="1" applyBorder="1" applyAlignment="1">
      <alignment vertical="center" wrapText="1"/>
    </xf>
    <xf numFmtId="3" fontId="52" fillId="0" borderId="54" xfId="2564" applyNumberFormat="1" applyFont="1" applyFill="1" applyBorder="1" applyAlignment="1">
      <alignment vertical="center" wrapText="1"/>
    </xf>
    <xf numFmtId="3" fontId="46" fillId="0" borderId="136" xfId="2564" applyNumberFormat="1" applyFont="1" applyFill="1" applyBorder="1" applyAlignment="1">
      <alignment vertical="center" wrapText="1"/>
    </xf>
    <xf numFmtId="3" fontId="52" fillId="0" borderId="136" xfId="2564" applyNumberFormat="1" applyFont="1" applyFill="1" applyBorder="1" applyAlignment="1">
      <alignment vertical="center" wrapText="1"/>
    </xf>
    <xf numFmtId="0" fontId="46" fillId="0" borderId="58" xfId="2564" applyFont="1" applyFill="1" applyBorder="1" applyAlignment="1">
      <alignment horizontal="center" vertical="center"/>
    </xf>
    <xf numFmtId="0" fontId="46" fillId="0" borderId="59" xfId="2564" applyFont="1" applyFill="1" applyBorder="1" applyAlignment="1">
      <alignment horizontal="center" vertical="center"/>
    </xf>
    <xf numFmtId="0" fontId="46" fillId="0" borderId="60" xfId="2564" applyFont="1" applyFill="1" applyBorder="1" applyAlignment="1">
      <alignment horizontal="center" vertical="center"/>
    </xf>
    <xf numFmtId="3" fontId="46" fillId="0" borderId="101" xfId="2564" applyNumberFormat="1" applyFont="1" applyFill="1" applyBorder="1" applyAlignment="1">
      <alignment vertical="center"/>
    </xf>
    <xf numFmtId="3" fontId="46" fillId="0" borderId="102" xfId="2564" applyNumberFormat="1" applyFont="1" applyFill="1" applyBorder="1" applyAlignment="1">
      <alignment vertical="center"/>
    </xf>
    <xf numFmtId="3" fontId="46" fillId="0" borderId="103" xfId="2564" applyNumberFormat="1" applyFont="1" applyFill="1" applyBorder="1" applyAlignment="1">
      <alignment vertical="center"/>
    </xf>
    <xf numFmtId="3" fontId="46" fillId="0" borderId="17" xfId="2564" applyNumberFormat="1" applyFont="1" applyFill="1" applyBorder="1" applyAlignment="1">
      <alignment vertical="center" wrapText="1"/>
    </xf>
    <xf numFmtId="3" fontId="46" fillId="0" borderId="20" xfId="2564" applyNumberFormat="1" applyFont="1" applyFill="1" applyBorder="1" applyAlignment="1">
      <alignment vertical="center" wrapText="1"/>
    </xf>
    <xf numFmtId="3" fontId="46" fillId="0" borderId="12" xfId="2564" applyNumberFormat="1" applyFont="1" applyFill="1" applyBorder="1" applyAlignment="1">
      <alignment vertical="center" wrapText="1"/>
    </xf>
    <xf numFmtId="3" fontId="46" fillId="10" borderId="0" xfId="2564" applyNumberFormat="1" applyFont="1" applyFill="1" applyAlignment="1">
      <alignment horizontal="center" vertical="center"/>
    </xf>
    <xf numFmtId="0" fontId="46" fillId="10" borderId="0" xfId="2564" applyFont="1" applyFill="1" applyAlignment="1">
      <alignment horizontal="center" vertical="center"/>
    </xf>
    <xf numFmtId="3" fontId="45" fillId="10" borderId="18" xfId="2564" applyNumberFormat="1" applyFont="1" applyFill="1" applyBorder="1" applyAlignment="1">
      <alignment horizontal="center" vertical="center"/>
    </xf>
    <xf numFmtId="0" fontId="45" fillId="10" borderId="18" xfId="2564" applyFont="1" applyFill="1" applyBorder="1" applyAlignment="1">
      <alignment horizontal="center" vertical="center"/>
    </xf>
    <xf numFmtId="3" fontId="46" fillId="10" borderId="2" xfId="2564" applyNumberFormat="1" applyFont="1" applyFill="1" applyBorder="1" applyAlignment="1">
      <alignment vertical="center"/>
    </xf>
    <xf numFmtId="0" fontId="46" fillId="10" borderId="2" xfId="2564" applyFont="1" applyFill="1" applyBorder="1" applyAlignment="1">
      <alignment vertical="center"/>
    </xf>
    <xf numFmtId="233" fontId="46" fillId="10" borderId="2" xfId="1817" applyNumberFormat="1" applyFont="1" applyFill="1" applyBorder="1" applyAlignment="1">
      <alignment vertical="center"/>
    </xf>
    <xf numFmtId="10" fontId="7" fillId="10" borderId="2" xfId="1822" applyNumberFormat="1" applyFont="1" applyFill="1" applyBorder="1" applyAlignment="1">
      <alignment horizontal="center" vertical="center" shrinkToFit="1"/>
    </xf>
    <xf numFmtId="3" fontId="52" fillId="10" borderId="2" xfId="2564" applyNumberFormat="1" applyFont="1" applyFill="1" applyBorder="1" applyAlignment="1">
      <alignment vertical="center"/>
    </xf>
    <xf numFmtId="0" fontId="52" fillId="10" borderId="2" xfId="2564" applyFont="1" applyFill="1" applyBorder="1" applyAlignment="1">
      <alignment vertical="center"/>
    </xf>
    <xf numFmtId="10" fontId="155" fillId="10" borderId="49" xfId="1822" applyNumberFormat="1" applyFont="1" applyFill="1" applyBorder="1" applyAlignment="1">
      <alignment horizontal="center" vertical="center" shrinkToFit="1"/>
    </xf>
    <xf numFmtId="41" fontId="46" fillId="10" borderId="2" xfId="1958" applyFont="1" applyFill="1" applyBorder="1" applyAlignment="1">
      <alignment horizontal="center" vertical="center"/>
    </xf>
    <xf numFmtId="3" fontId="46" fillId="10" borderId="18" xfId="2564" applyNumberFormat="1" applyFont="1" applyFill="1" applyBorder="1" applyAlignment="1">
      <alignment vertical="center"/>
    </xf>
    <xf numFmtId="0" fontId="46" fillId="10" borderId="0" xfId="2564" applyFont="1" applyFill="1" applyBorder="1" applyAlignment="1">
      <alignment vertical="center"/>
    </xf>
    <xf numFmtId="205" fontId="45" fillId="10" borderId="20" xfId="2027" applyNumberFormat="1" applyFont="1" applyFill="1" applyBorder="1" applyAlignment="1">
      <alignment horizontal="center" vertical="center"/>
    </xf>
    <xf numFmtId="0" fontId="46" fillId="10" borderId="18" xfId="2564" applyFont="1" applyFill="1" applyBorder="1" applyAlignment="1">
      <alignment vertical="center"/>
    </xf>
    <xf numFmtId="3" fontId="46" fillId="10" borderId="0" xfId="2564" applyNumberFormat="1" applyFont="1" applyFill="1" applyBorder="1" applyAlignment="1">
      <alignment vertical="center"/>
    </xf>
    <xf numFmtId="206" fontId="46" fillId="10" borderId="0" xfId="2564" applyNumberFormat="1" applyFont="1" applyFill="1" applyAlignment="1">
      <alignment horizontal="center" vertical="center"/>
    </xf>
    <xf numFmtId="0" fontId="46" fillId="10" borderId="0" xfId="2564" applyFont="1" applyFill="1" applyAlignment="1">
      <alignment horizontal="right" vertical="center"/>
    </xf>
    <xf numFmtId="0" fontId="46" fillId="10" borderId="51" xfId="2564" applyFont="1" applyFill="1" applyBorder="1" applyAlignment="1">
      <alignment horizontal="center" vertical="center"/>
    </xf>
    <xf numFmtId="41" fontId="46" fillId="0" borderId="51" xfId="1958" applyFont="1" applyFill="1" applyBorder="1" applyAlignment="1">
      <alignment horizontal="center" vertical="center"/>
    </xf>
    <xf numFmtId="0" fontId="46" fillId="0" borderId="51" xfId="2564" applyFont="1" applyFill="1" applyBorder="1" applyAlignment="1">
      <alignment horizontal="center" vertical="center"/>
    </xf>
    <xf numFmtId="0" fontId="46" fillId="10" borderId="52" xfId="2564" applyFont="1" applyFill="1" applyBorder="1" applyAlignment="1">
      <alignment horizontal="center" vertical="center"/>
    </xf>
    <xf numFmtId="41" fontId="46" fillId="10" borderId="52" xfId="1958" applyFont="1" applyFill="1" applyBorder="1" applyAlignment="1">
      <alignment horizontal="center" vertical="center"/>
    </xf>
    <xf numFmtId="41" fontId="46" fillId="10" borderId="51" xfId="1958" applyFont="1" applyFill="1" applyBorder="1" applyAlignment="1">
      <alignment horizontal="center" vertical="center"/>
    </xf>
    <xf numFmtId="0" fontId="46" fillId="10" borderId="2" xfId="2564" applyFont="1" applyFill="1" applyBorder="1" applyAlignment="1">
      <alignment horizontal="center" vertical="center" wrapText="1"/>
    </xf>
    <xf numFmtId="0" fontId="46" fillId="10" borderId="49" xfId="2564" applyFont="1" applyFill="1" applyBorder="1" applyAlignment="1">
      <alignment horizontal="center" vertical="center"/>
    </xf>
    <xf numFmtId="41" fontId="46" fillId="10" borderId="49" xfId="1958" applyFont="1" applyFill="1" applyBorder="1" applyAlignment="1">
      <alignment horizontal="center" vertical="center"/>
    </xf>
    <xf numFmtId="0" fontId="46" fillId="0" borderId="49" xfId="2564" applyFont="1" applyFill="1" applyBorder="1" applyAlignment="1">
      <alignment horizontal="center" vertical="center"/>
    </xf>
    <xf numFmtId="0" fontId="46" fillId="0" borderId="53" xfId="2564" applyFont="1" applyFill="1" applyBorder="1" applyAlignment="1">
      <alignment horizontal="center" vertical="center"/>
    </xf>
    <xf numFmtId="0" fontId="46" fillId="0" borderId="13" xfId="2564" applyFont="1" applyFill="1" applyBorder="1" applyAlignment="1">
      <alignment horizontal="center" vertical="center"/>
    </xf>
    <xf numFmtId="0" fontId="46" fillId="0" borderId="54" xfId="2564" applyFont="1" applyFill="1" applyBorder="1" applyAlignment="1">
      <alignment horizontal="center" vertical="center"/>
    </xf>
    <xf numFmtId="0" fontId="46" fillId="0" borderId="14" xfId="2564" applyFont="1" applyFill="1" applyBorder="1" applyAlignment="1">
      <alignment horizontal="center" vertical="center"/>
    </xf>
    <xf numFmtId="41" fontId="46" fillId="0" borderId="14" xfId="1958" applyFont="1" applyFill="1" applyBorder="1" applyAlignment="1">
      <alignment horizontal="center" vertical="center"/>
    </xf>
    <xf numFmtId="41" fontId="46" fillId="0" borderId="50" xfId="1958" applyFont="1" applyFill="1" applyBorder="1" applyAlignment="1">
      <alignment horizontal="center" vertical="center"/>
    </xf>
    <xf numFmtId="10" fontId="7" fillId="10" borderId="49" xfId="1822" applyNumberFormat="1" applyFont="1" applyFill="1" applyBorder="1" applyAlignment="1">
      <alignment horizontal="center" vertical="center" shrinkToFit="1"/>
    </xf>
    <xf numFmtId="41" fontId="46" fillId="0" borderId="49" xfId="1958" applyFont="1" applyFill="1" applyBorder="1" applyAlignment="1">
      <alignment horizontal="center" vertical="center"/>
    </xf>
    <xf numFmtId="0" fontId="46" fillId="0" borderId="27" xfId="2564" applyFont="1" applyFill="1" applyBorder="1" applyAlignment="1">
      <alignment horizontal="center" vertical="center"/>
    </xf>
    <xf numFmtId="0" fontId="46" fillId="0" borderId="6" xfId="2564" applyFont="1" applyFill="1" applyBorder="1" applyAlignment="1">
      <alignment horizontal="center" vertical="center"/>
    </xf>
    <xf numFmtId="0" fontId="46" fillId="0" borderId="28" xfId="2564" applyFont="1" applyFill="1" applyBorder="1" applyAlignment="1">
      <alignment horizontal="center" vertical="center"/>
    </xf>
    <xf numFmtId="10" fontId="7" fillId="10" borderId="51" xfId="1822" applyNumberFormat="1" applyFont="1" applyFill="1" applyBorder="1" applyAlignment="1">
      <alignment horizontal="center" vertical="center" shrinkToFit="1"/>
    </xf>
    <xf numFmtId="3" fontId="46" fillId="0" borderId="55" xfId="2564" applyNumberFormat="1" applyFont="1" applyFill="1" applyBorder="1" applyAlignment="1">
      <alignment vertical="center" wrapText="1"/>
    </xf>
    <xf numFmtId="3" fontId="46" fillId="0" borderId="56" xfId="2564" applyNumberFormat="1" applyFont="1" applyFill="1" applyBorder="1" applyAlignment="1">
      <alignment vertical="center" wrapText="1"/>
    </xf>
    <xf numFmtId="3" fontId="46" fillId="0" borderId="57" xfId="2564" applyNumberFormat="1" applyFont="1" applyFill="1" applyBorder="1" applyAlignment="1">
      <alignment vertical="center" wrapText="1"/>
    </xf>
    <xf numFmtId="0" fontId="46" fillId="0" borderId="133" xfId="2564" applyFont="1" applyFill="1" applyBorder="1" applyAlignment="1">
      <alignment horizontal="center" vertical="center"/>
    </xf>
    <xf numFmtId="0" fontId="46" fillId="0" borderId="134" xfId="2564" applyFont="1" applyFill="1" applyBorder="1" applyAlignment="1">
      <alignment horizontal="center" vertical="center"/>
    </xf>
    <xf numFmtId="0" fontId="46" fillId="0" borderId="135" xfId="2564" applyFont="1" applyFill="1" applyBorder="1" applyAlignment="1">
      <alignment horizontal="center" vertical="center"/>
    </xf>
    <xf numFmtId="10" fontId="7" fillId="10" borderId="125" xfId="1822" applyNumberFormat="1" applyFont="1" applyFill="1" applyBorder="1" applyAlignment="1">
      <alignment horizontal="center" vertical="center" shrinkToFit="1"/>
    </xf>
    <xf numFmtId="10" fontId="7" fillId="10" borderId="53" xfId="1822" applyNumberFormat="1" applyFont="1" applyFill="1" applyBorder="1" applyAlignment="1">
      <alignment horizontal="center" vertical="center" shrinkToFit="1"/>
    </xf>
    <xf numFmtId="10" fontId="7" fillId="10" borderId="54" xfId="1822" applyNumberFormat="1" applyFont="1" applyFill="1" applyBorder="1" applyAlignment="1">
      <alignment horizontal="center" vertical="center" shrinkToFit="1"/>
    </xf>
    <xf numFmtId="0" fontId="46" fillId="0" borderId="131" xfId="2564" applyFont="1" applyFill="1" applyBorder="1" applyAlignment="1">
      <alignment horizontal="center" vertical="center" textRotation="255" wrapText="1"/>
    </xf>
    <xf numFmtId="0" fontId="46" fillId="0" borderId="132" xfId="2564" applyFont="1" applyFill="1" applyBorder="1" applyAlignment="1">
      <alignment horizontal="center" vertical="center" textRotation="255" wrapText="1"/>
    </xf>
    <xf numFmtId="0" fontId="46" fillId="0" borderId="24" xfId="2564" applyFont="1" applyFill="1" applyBorder="1" applyAlignment="1">
      <alignment horizontal="center" vertical="center" textRotation="255" wrapText="1"/>
    </xf>
    <xf numFmtId="0" fontId="46" fillId="0" borderId="25" xfId="2564" applyFont="1" applyFill="1" applyBorder="1" applyAlignment="1">
      <alignment horizontal="center" vertical="center" textRotation="255" wrapText="1"/>
    </xf>
    <xf numFmtId="0" fontId="46" fillId="0" borderId="133" xfId="2564" applyFont="1" applyFill="1" applyBorder="1" applyAlignment="1">
      <alignment horizontal="center" vertical="center" textRotation="255" wrapText="1"/>
    </xf>
    <xf numFmtId="0" fontId="46" fillId="0" borderId="135" xfId="2564" applyFont="1" applyFill="1" applyBorder="1" applyAlignment="1">
      <alignment horizontal="center" vertical="center" textRotation="255" wrapText="1"/>
    </xf>
    <xf numFmtId="3" fontId="46" fillId="0" borderId="55" xfId="2564" applyNumberFormat="1" applyFont="1" applyFill="1" applyBorder="1" applyAlignment="1">
      <alignment vertical="center"/>
    </xf>
    <xf numFmtId="3" fontId="46" fillId="0" borderId="56" xfId="2564" applyNumberFormat="1" applyFont="1" applyFill="1" applyBorder="1" applyAlignment="1">
      <alignment vertical="center"/>
    </xf>
    <xf numFmtId="3" fontId="46" fillId="0" borderId="57" xfId="2564" applyNumberFormat="1" applyFont="1" applyFill="1" applyBorder="1" applyAlignment="1">
      <alignment vertical="center"/>
    </xf>
    <xf numFmtId="3" fontId="7" fillId="0" borderId="2" xfId="2564" applyNumberFormat="1" applyFont="1" applyFill="1" applyBorder="1" applyAlignment="1">
      <alignment horizontal="center" vertical="center" shrinkToFit="1"/>
    </xf>
    <xf numFmtId="10" fontId="155" fillId="10" borderId="118" xfId="1822" applyNumberFormat="1" applyFont="1" applyFill="1" applyBorder="1" applyAlignment="1">
      <alignment horizontal="center" vertical="center" shrinkToFit="1"/>
    </xf>
    <xf numFmtId="10" fontId="7" fillId="10" borderId="136" xfId="1822" applyNumberFormat="1" applyFont="1" applyFill="1" applyBorder="1" applyAlignment="1">
      <alignment horizontal="center" vertical="center" shrinkToFit="1"/>
    </xf>
    <xf numFmtId="10" fontId="7" fillId="10" borderId="52" xfId="1822" applyNumberFormat="1" applyFont="1" applyFill="1" applyBorder="1" applyAlignment="1">
      <alignment horizontal="center" vertical="center" shrinkToFit="1"/>
    </xf>
    <xf numFmtId="0" fontId="46" fillId="10" borderId="50" xfId="2564" applyFont="1" applyFill="1" applyBorder="1" applyAlignment="1">
      <alignment horizontal="center" vertical="center"/>
    </xf>
    <xf numFmtId="3" fontId="52" fillId="10" borderId="49" xfId="2564" applyNumberFormat="1" applyFont="1" applyFill="1" applyBorder="1" applyAlignment="1">
      <alignment vertical="center" wrapText="1"/>
    </xf>
    <xf numFmtId="3" fontId="46" fillId="10" borderId="95" xfId="2564" applyNumberFormat="1" applyFont="1" applyFill="1" applyBorder="1" applyAlignment="1">
      <alignment vertical="center" wrapText="1"/>
    </xf>
    <xf numFmtId="10" fontId="7" fillId="10" borderId="95" xfId="1822" applyNumberFormat="1" applyFont="1" applyFill="1" applyBorder="1" applyAlignment="1">
      <alignment horizontal="center" vertical="center" shrinkToFit="1"/>
    </xf>
    <xf numFmtId="3" fontId="46" fillId="10" borderId="50" xfId="2564" applyNumberFormat="1" applyFont="1" applyFill="1" applyBorder="1" applyAlignment="1">
      <alignment vertical="center" wrapText="1"/>
    </xf>
    <xf numFmtId="3" fontId="52" fillId="10" borderId="111" xfId="2564" applyNumberFormat="1" applyFont="1" applyFill="1" applyBorder="1" applyAlignment="1">
      <alignment vertical="center" wrapText="1"/>
    </xf>
    <xf numFmtId="10" fontId="7" fillId="10" borderId="118" xfId="1822" applyNumberFormat="1" applyFont="1" applyFill="1" applyBorder="1" applyAlignment="1">
      <alignment horizontal="center" vertical="center" shrinkToFit="1"/>
    </xf>
    <xf numFmtId="0" fontId="46" fillId="10" borderId="95" xfId="2564" applyFont="1" applyFill="1" applyBorder="1" applyAlignment="1">
      <alignment horizontal="center" vertical="center"/>
    </xf>
    <xf numFmtId="3" fontId="52" fillId="0" borderId="17" xfId="2564" applyNumberFormat="1" applyFont="1" applyFill="1" applyBorder="1" applyAlignment="1">
      <alignment vertical="center" wrapText="1"/>
    </xf>
    <xf numFmtId="3" fontId="52" fillId="0" borderId="20" xfId="2564" applyNumberFormat="1" applyFont="1" applyFill="1" applyBorder="1" applyAlignment="1">
      <alignment vertical="center" wrapText="1"/>
    </xf>
    <xf numFmtId="3" fontId="52" fillId="0" borderId="12" xfId="2564" applyNumberFormat="1" applyFont="1" applyFill="1" applyBorder="1" applyAlignment="1">
      <alignment vertical="center" wrapText="1"/>
    </xf>
    <xf numFmtId="3" fontId="46" fillId="0" borderId="123" xfId="2564" applyNumberFormat="1" applyFont="1" applyFill="1" applyBorder="1" applyAlignment="1">
      <alignment vertical="center"/>
    </xf>
    <xf numFmtId="3" fontId="46" fillId="0" borderId="137" xfId="2564" applyNumberFormat="1" applyFont="1" applyFill="1" applyBorder="1" applyAlignment="1">
      <alignment vertical="center"/>
    </xf>
    <xf numFmtId="3" fontId="46" fillId="0" borderId="130" xfId="2564" applyNumberFormat="1" applyFont="1" applyFill="1" applyBorder="1" applyAlignment="1">
      <alignment vertical="center"/>
    </xf>
    <xf numFmtId="3" fontId="46" fillId="0" borderId="136" xfId="2564" applyNumberFormat="1" applyFont="1" applyFill="1" applyBorder="1" applyAlignment="1">
      <alignment vertical="center"/>
    </xf>
    <xf numFmtId="3" fontId="52" fillId="0" borderId="123" xfId="2564" applyNumberFormat="1" applyFont="1" applyFill="1" applyBorder="1" applyAlignment="1">
      <alignment vertical="center" wrapText="1"/>
    </xf>
    <xf numFmtId="3" fontId="52" fillId="0" borderId="137" xfId="2564" applyNumberFormat="1" applyFont="1" applyFill="1" applyBorder="1" applyAlignment="1">
      <alignment vertical="center" wrapText="1"/>
    </xf>
    <xf numFmtId="3" fontId="52" fillId="0" borderId="130" xfId="2564" applyNumberFormat="1" applyFont="1" applyFill="1" applyBorder="1" applyAlignment="1">
      <alignment vertical="center" wrapText="1"/>
    </xf>
    <xf numFmtId="3" fontId="52" fillId="0" borderId="53" xfId="2564" applyNumberFormat="1" applyFont="1" applyFill="1" applyBorder="1" applyAlignment="1">
      <alignment horizontal="right" vertical="center" wrapText="1"/>
    </xf>
    <xf numFmtId="3" fontId="52" fillId="0" borderId="13" xfId="2564" applyNumberFormat="1" applyFont="1" applyFill="1" applyBorder="1" applyAlignment="1">
      <alignment horizontal="right" vertical="center" wrapText="1"/>
    </xf>
    <xf numFmtId="3" fontId="52" fillId="0" borderId="54" xfId="2564" applyNumberFormat="1" applyFont="1" applyFill="1" applyBorder="1" applyAlignment="1">
      <alignment horizontal="right" vertical="center" wrapText="1"/>
    </xf>
    <xf numFmtId="3" fontId="52" fillId="0" borderId="55" xfId="2564" applyNumberFormat="1" applyFont="1" applyFill="1" applyBorder="1" applyAlignment="1">
      <alignment vertical="center" wrapText="1"/>
    </xf>
    <xf numFmtId="3" fontId="52" fillId="0" borderId="56" xfId="2564" applyNumberFormat="1" applyFont="1" applyFill="1" applyBorder="1" applyAlignment="1">
      <alignment vertical="center" wrapText="1"/>
    </xf>
    <xf numFmtId="3" fontId="52" fillId="0" borderId="57" xfId="2564" applyNumberFormat="1" applyFont="1" applyFill="1" applyBorder="1" applyAlignment="1">
      <alignment vertical="center" wrapText="1"/>
    </xf>
    <xf numFmtId="3" fontId="52" fillId="0" borderId="27" xfId="2564" applyNumberFormat="1" applyFont="1" applyFill="1" applyBorder="1" applyAlignment="1">
      <alignment vertical="center"/>
    </xf>
    <xf numFmtId="3" fontId="52" fillId="0" borderId="6" xfId="2564" applyNumberFormat="1" applyFont="1" applyFill="1" applyBorder="1" applyAlignment="1">
      <alignment vertical="center"/>
    </xf>
    <xf numFmtId="3" fontId="52" fillId="0" borderId="28" xfId="2564" applyNumberFormat="1" applyFont="1" applyFill="1" applyBorder="1" applyAlignment="1">
      <alignment vertical="center"/>
    </xf>
    <xf numFmtId="3" fontId="52" fillId="0" borderId="2" xfId="2564" applyNumberFormat="1" applyFont="1" applyFill="1" applyBorder="1" applyAlignment="1">
      <alignment vertical="center" wrapText="1"/>
    </xf>
    <xf numFmtId="3" fontId="46" fillId="0" borderId="2" xfId="2564" applyNumberFormat="1" applyFont="1" applyFill="1" applyBorder="1" applyAlignment="1">
      <alignment vertical="center" wrapText="1"/>
    </xf>
    <xf numFmtId="3" fontId="46" fillId="10" borderId="49" xfId="2564" applyNumberFormat="1" applyFont="1" applyFill="1" applyBorder="1" applyAlignment="1">
      <alignment vertical="center" wrapText="1"/>
    </xf>
    <xf numFmtId="3" fontId="52" fillId="0" borderId="27" xfId="2564" applyNumberFormat="1" applyFont="1" applyFill="1" applyBorder="1" applyAlignment="1">
      <alignment vertical="center" wrapText="1"/>
    </xf>
    <xf numFmtId="3" fontId="52" fillId="0" borderId="6" xfId="2564" applyNumberFormat="1" applyFont="1" applyFill="1" applyBorder="1" applyAlignment="1">
      <alignment vertical="center" wrapText="1"/>
    </xf>
    <xf numFmtId="3" fontId="52" fillId="0" borderId="28" xfId="2564" applyNumberFormat="1" applyFont="1" applyFill="1" applyBorder="1" applyAlignment="1">
      <alignment vertical="center" wrapText="1"/>
    </xf>
    <xf numFmtId="3" fontId="52" fillId="10" borderId="50" xfId="2564" applyNumberFormat="1" applyFont="1" applyFill="1" applyBorder="1" applyAlignment="1">
      <alignment vertical="center" wrapText="1"/>
    </xf>
    <xf numFmtId="0" fontId="46" fillId="10" borderId="26" xfId="2564" applyFont="1" applyFill="1" applyBorder="1" applyAlignment="1">
      <alignment horizontal="center" vertical="center"/>
    </xf>
    <xf numFmtId="41" fontId="46" fillId="10" borderId="21" xfId="1958" applyFont="1" applyFill="1" applyBorder="1" applyAlignment="1">
      <alignment horizontal="right" vertical="center"/>
    </xf>
    <xf numFmtId="41" fontId="46" fillId="10" borderId="18" xfId="1958" applyFont="1" applyFill="1" applyBorder="1" applyAlignment="1">
      <alignment horizontal="right" vertical="center"/>
    </xf>
    <xf numFmtId="41" fontId="46" fillId="10" borderId="19" xfId="1958" applyFont="1" applyFill="1" applyBorder="1" applyAlignment="1">
      <alignment horizontal="right" vertical="center"/>
    </xf>
    <xf numFmtId="41" fontId="46" fillId="10" borderId="24" xfId="1958" applyFont="1" applyFill="1" applyBorder="1" applyAlignment="1">
      <alignment horizontal="right" vertical="center"/>
    </xf>
    <xf numFmtId="41" fontId="46" fillId="10" borderId="0" xfId="1958" applyFont="1" applyFill="1" applyBorder="1" applyAlignment="1">
      <alignment horizontal="right" vertical="center"/>
    </xf>
    <xf numFmtId="41" fontId="46" fillId="10" borderId="25" xfId="1958" applyFont="1" applyFill="1" applyBorder="1" applyAlignment="1">
      <alignment horizontal="right" vertical="center"/>
    </xf>
    <xf numFmtId="0" fontId="46" fillId="0" borderId="118" xfId="2564" applyFont="1" applyFill="1" applyBorder="1" applyAlignment="1">
      <alignment horizontal="center" vertical="center"/>
    </xf>
    <xf numFmtId="3" fontId="46" fillId="0" borderId="17" xfId="2564" applyNumberFormat="1" applyFont="1" applyFill="1" applyBorder="1" applyAlignment="1">
      <alignment vertical="center"/>
    </xf>
    <xf numFmtId="3" fontId="46" fillId="0" borderId="20" xfId="2564" applyNumberFormat="1" applyFont="1" applyFill="1" applyBorder="1" applyAlignment="1">
      <alignment vertical="center"/>
    </xf>
    <xf numFmtId="3" fontId="46" fillId="0" borderId="12" xfId="2564" applyNumberFormat="1" applyFont="1" applyFill="1" applyBorder="1" applyAlignment="1">
      <alignment vertical="center"/>
    </xf>
    <xf numFmtId="3" fontId="46" fillId="0" borderId="53" xfId="2564" applyNumberFormat="1" applyFont="1" applyFill="1" applyBorder="1" applyAlignment="1">
      <alignment vertical="center"/>
    </xf>
    <xf numFmtId="3" fontId="46" fillId="0" borderId="13" xfId="2564" applyNumberFormat="1" applyFont="1" applyFill="1" applyBorder="1" applyAlignment="1">
      <alignment vertical="center"/>
    </xf>
    <xf numFmtId="3" fontId="46" fillId="0" borderId="54" xfId="2564" applyNumberFormat="1" applyFont="1" applyFill="1" applyBorder="1" applyAlignment="1">
      <alignment vertical="center"/>
    </xf>
    <xf numFmtId="3" fontId="46" fillId="10" borderId="111" xfId="2564" applyNumberFormat="1" applyFont="1" applyFill="1" applyBorder="1" applyAlignment="1">
      <alignment vertical="center" wrapText="1"/>
    </xf>
    <xf numFmtId="0" fontId="46" fillId="0" borderId="111" xfId="2564" applyFont="1" applyFill="1" applyBorder="1" applyAlignment="1">
      <alignment horizontal="center" vertical="center" wrapText="1" shrinkToFit="1"/>
    </xf>
    <xf numFmtId="3" fontId="46" fillId="10" borderId="53" xfId="2564" applyNumberFormat="1" applyFont="1" applyFill="1" applyBorder="1" applyAlignment="1">
      <alignment vertical="center"/>
    </xf>
    <xf numFmtId="3" fontId="46" fillId="10" borderId="13" xfId="2564" applyNumberFormat="1" applyFont="1" applyFill="1" applyBorder="1" applyAlignment="1">
      <alignment vertical="center"/>
    </xf>
    <xf numFmtId="3" fontId="46" fillId="10" borderId="54" xfId="2564" applyNumberFormat="1" applyFont="1" applyFill="1" applyBorder="1" applyAlignment="1">
      <alignment vertical="center"/>
    </xf>
    <xf numFmtId="3" fontId="46" fillId="10" borderId="101" xfId="2564" applyNumberFormat="1" applyFont="1" applyFill="1" applyBorder="1" applyAlignment="1">
      <alignment vertical="center"/>
    </xf>
    <xf numFmtId="3" fontId="46" fillId="10" borderId="102" xfId="2564" applyNumberFormat="1" applyFont="1" applyFill="1" applyBorder="1" applyAlignment="1">
      <alignment vertical="center"/>
    </xf>
    <xf numFmtId="3" fontId="46" fillId="10" borderId="103" xfId="2564" applyNumberFormat="1" applyFont="1" applyFill="1" applyBorder="1" applyAlignment="1">
      <alignment vertical="center"/>
    </xf>
    <xf numFmtId="3" fontId="52" fillId="10" borderId="95" xfId="2564" applyNumberFormat="1" applyFont="1" applyFill="1" applyBorder="1" applyAlignment="1">
      <alignment vertical="center" wrapText="1"/>
    </xf>
    <xf numFmtId="0" fontId="46" fillId="10" borderId="133" xfId="2564" applyFont="1" applyFill="1" applyBorder="1" applyAlignment="1">
      <alignment horizontal="center" vertical="center"/>
    </xf>
    <xf numFmtId="0" fontId="46" fillId="10" borderId="134" xfId="2564" applyFont="1" applyFill="1" applyBorder="1" applyAlignment="1">
      <alignment horizontal="center" vertical="center"/>
    </xf>
    <xf numFmtId="0" fontId="46" fillId="10" borderId="135" xfId="2564" applyFont="1" applyFill="1" applyBorder="1" applyAlignment="1">
      <alignment horizontal="center" vertical="center"/>
    </xf>
    <xf numFmtId="10" fontId="7" fillId="0" borderId="2" xfId="1817" applyNumberFormat="1" applyFont="1" applyFill="1" applyBorder="1" applyAlignment="1">
      <alignment horizontal="center" vertical="center" shrinkToFit="1"/>
    </xf>
    <xf numFmtId="10" fontId="46" fillId="10" borderId="2" xfId="1822" applyNumberFormat="1" applyFont="1" applyFill="1" applyBorder="1" applyAlignment="1">
      <alignment horizontal="center" vertical="center"/>
    </xf>
    <xf numFmtId="41" fontId="46" fillId="10" borderId="27" xfId="1958" applyFont="1" applyFill="1" applyBorder="1" applyAlignment="1">
      <alignment vertical="center"/>
    </xf>
    <xf numFmtId="41" fontId="46" fillId="10" borderId="6" xfId="1958" applyFont="1" applyFill="1" applyBorder="1" applyAlignment="1">
      <alignment vertical="center"/>
    </xf>
    <xf numFmtId="41" fontId="46" fillId="10" borderId="28" xfId="1958" applyFont="1" applyFill="1" applyBorder="1" applyAlignment="1">
      <alignment vertical="center"/>
    </xf>
    <xf numFmtId="41" fontId="46" fillId="10" borderId="27" xfId="1958" applyFont="1" applyFill="1" applyBorder="1" applyAlignment="1">
      <alignment horizontal="center" vertical="center" shrinkToFit="1"/>
    </xf>
    <xf numFmtId="41" fontId="46" fillId="10" borderId="6" xfId="1958" applyFont="1" applyFill="1" applyBorder="1" applyAlignment="1">
      <alignment horizontal="center" vertical="center" shrinkToFit="1"/>
    </xf>
    <xf numFmtId="41" fontId="46" fillId="10" borderId="28" xfId="1958" applyFont="1" applyFill="1" applyBorder="1" applyAlignment="1">
      <alignment horizontal="center" vertical="center" shrinkToFit="1"/>
    </xf>
    <xf numFmtId="0" fontId="46" fillId="10" borderId="20" xfId="2564" applyFont="1" applyFill="1" applyBorder="1" applyAlignment="1">
      <alignment horizontal="center" vertical="center"/>
    </xf>
    <xf numFmtId="41" fontId="7" fillId="0" borderId="2" xfId="1958" applyFont="1" applyFill="1" applyBorder="1" applyAlignment="1">
      <alignment horizontal="center" vertical="center" shrinkToFit="1"/>
    </xf>
    <xf numFmtId="41" fontId="46" fillId="0" borderId="2" xfId="2564" applyNumberFormat="1" applyFont="1" applyFill="1" applyBorder="1" applyAlignment="1">
      <alignment horizontal="center" vertical="center" shrinkToFit="1"/>
    </xf>
    <xf numFmtId="41" fontId="46" fillId="10" borderId="58" xfId="1958" applyFont="1" applyFill="1" applyBorder="1" applyAlignment="1">
      <alignment horizontal="right" vertical="center"/>
    </xf>
    <xf numFmtId="41" fontId="46" fillId="10" borderId="59" xfId="1958" applyFont="1" applyFill="1" applyBorder="1" applyAlignment="1">
      <alignment horizontal="right" vertical="center"/>
    </xf>
    <xf numFmtId="41" fontId="46" fillId="10" borderId="60" xfId="1958" applyFont="1" applyFill="1" applyBorder="1" applyAlignment="1">
      <alignment horizontal="right" vertical="center"/>
    </xf>
    <xf numFmtId="41" fontId="46" fillId="10" borderId="55" xfId="1958" applyFont="1" applyFill="1" applyBorder="1" applyAlignment="1">
      <alignment vertical="center"/>
    </xf>
    <xf numFmtId="41" fontId="46" fillId="10" borderId="56" xfId="1958" applyFont="1" applyFill="1" applyBorder="1" applyAlignment="1">
      <alignment vertical="center"/>
    </xf>
    <xf numFmtId="41" fontId="46" fillId="10" borderId="57" xfId="1958" applyFont="1" applyFill="1" applyBorder="1" applyAlignment="1">
      <alignment vertical="center"/>
    </xf>
    <xf numFmtId="233" fontId="46" fillId="10" borderId="0" xfId="1817" applyNumberFormat="1" applyFont="1" applyFill="1" applyBorder="1" applyAlignment="1">
      <alignment horizontal="center" vertical="center"/>
    </xf>
    <xf numFmtId="233" fontId="49" fillId="10" borderId="0" xfId="1817" applyNumberFormat="1" applyFont="1" applyFill="1" applyBorder="1" applyAlignment="1">
      <alignment horizontal="center" vertical="center"/>
    </xf>
    <xf numFmtId="233" fontId="46" fillId="10" borderId="2" xfId="1817" applyNumberFormat="1" applyFont="1" applyFill="1" applyBorder="1" applyAlignment="1">
      <alignment horizontal="center" vertical="center" wrapText="1"/>
    </xf>
    <xf numFmtId="233" fontId="46" fillId="10" borderId="2" xfId="1817" applyNumberFormat="1" applyFont="1" applyFill="1" applyBorder="1" applyAlignment="1">
      <alignment horizontal="center" vertical="center"/>
    </xf>
    <xf numFmtId="233" fontId="49" fillId="10" borderId="2" xfId="1817" applyNumberFormat="1" applyFont="1" applyFill="1" applyBorder="1" applyAlignment="1">
      <alignment horizontal="center" vertical="center"/>
    </xf>
    <xf numFmtId="3" fontId="49" fillId="10" borderId="27" xfId="2564" applyNumberFormat="1" applyFont="1" applyFill="1" applyBorder="1" applyAlignment="1">
      <alignment horizontal="center" vertical="center"/>
    </xf>
    <xf numFmtId="3" fontId="49" fillId="10" borderId="6" xfId="2564" applyNumberFormat="1" applyFont="1" applyFill="1" applyBorder="1" applyAlignment="1">
      <alignment horizontal="center" vertical="center"/>
    </xf>
    <xf numFmtId="41" fontId="49" fillId="10" borderId="0" xfId="1958" applyFont="1" applyFill="1" applyBorder="1" applyAlignment="1">
      <alignment horizontal="center" vertical="center"/>
    </xf>
    <xf numFmtId="0" fontId="0" fillId="0" borderId="125" xfId="0" applyBorder="1" applyAlignment="1">
      <alignment horizontal="center" vertical="center"/>
    </xf>
    <xf numFmtId="233" fontId="49" fillId="10" borderId="27" xfId="1817" applyNumberFormat="1" applyFont="1" applyFill="1" applyBorder="1" applyAlignment="1">
      <alignment horizontal="center" vertical="center"/>
    </xf>
    <xf numFmtId="233" fontId="49" fillId="10" borderId="6" xfId="1817" applyNumberFormat="1" applyFont="1" applyFill="1" applyBorder="1" applyAlignment="1">
      <alignment horizontal="center" vertical="center"/>
    </xf>
    <xf numFmtId="233" fontId="49" fillId="10" borderId="28" xfId="1817" applyNumberFormat="1" applyFont="1" applyFill="1" applyBorder="1" applyAlignment="1">
      <alignment horizontal="center" vertical="center"/>
    </xf>
    <xf numFmtId="41" fontId="49" fillId="10" borderId="27" xfId="2564" applyNumberFormat="1" applyFont="1" applyFill="1" applyBorder="1" applyAlignment="1">
      <alignment horizontal="center" vertical="center"/>
    </xf>
    <xf numFmtId="41" fontId="49" fillId="10" borderId="6" xfId="2564" applyNumberFormat="1" applyFont="1" applyFill="1" applyBorder="1" applyAlignment="1">
      <alignment horizontal="center" vertical="center"/>
    </xf>
    <xf numFmtId="41" fontId="49" fillId="10" borderId="28" xfId="2564" applyNumberFormat="1" applyFont="1" applyFill="1" applyBorder="1" applyAlignment="1">
      <alignment horizontal="center" vertical="center"/>
    </xf>
    <xf numFmtId="0" fontId="144" fillId="0" borderId="0" xfId="0" applyFont="1">
      <alignment vertical="center"/>
    </xf>
    <xf numFmtId="0" fontId="54" fillId="10" borderId="0" xfId="2564" applyFont="1" applyFill="1" applyBorder="1" applyAlignment="1">
      <alignment horizontal="center"/>
    </xf>
    <xf numFmtId="41" fontId="49" fillId="10" borderId="0" xfId="2564" applyNumberFormat="1" applyFont="1" applyFill="1" applyBorder="1" applyAlignment="1">
      <alignment horizontal="center" vertical="center"/>
    </xf>
    <xf numFmtId="41" fontId="49" fillId="10" borderId="2" xfId="1958" applyFont="1" applyFill="1" applyBorder="1" applyAlignment="1">
      <alignment horizontal="center" vertical="center"/>
    </xf>
    <xf numFmtId="3" fontId="46" fillId="10" borderId="27" xfId="2564" applyNumberFormat="1" applyFont="1" applyFill="1" applyBorder="1" applyAlignment="1">
      <alignment horizontal="center" vertical="center"/>
    </xf>
    <xf numFmtId="3" fontId="46" fillId="10" borderId="6" xfId="2564" applyNumberFormat="1" applyFont="1" applyFill="1" applyBorder="1" applyAlignment="1">
      <alignment horizontal="center" vertical="center"/>
    </xf>
    <xf numFmtId="0" fontId="44" fillId="10" borderId="0" xfId="2564" applyFont="1" applyFill="1" applyBorder="1" applyAlignment="1">
      <alignment horizontal="left" vertical="center" wrapText="1"/>
    </xf>
    <xf numFmtId="41" fontId="46" fillId="10" borderId="0" xfId="2564" applyNumberFormat="1" applyFont="1" applyFill="1" applyBorder="1" applyAlignment="1">
      <alignment horizontal="center" vertical="center"/>
    </xf>
    <xf numFmtId="0" fontId="52" fillId="0" borderId="133" xfId="2564" applyFont="1" applyFill="1" applyBorder="1" applyAlignment="1">
      <alignment horizontal="center" vertical="center"/>
    </xf>
    <xf numFmtId="0" fontId="52" fillId="0" borderId="134" xfId="2564" applyFont="1" applyFill="1" applyBorder="1" applyAlignment="1">
      <alignment horizontal="center" vertical="center"/>
    </xf>
    <xf numFmtId="0" fontId="52" fillId="0" borderId="135" xfId="2564" applyFont="1" applyFill="1" applyBorder="1" applyAlignment="1">
      <alignment horizontal="center" vertical="center"/>
    </xf>
    <xf numFmtId="3" fontId="49" fillId="10" borderId="0" xfId="2564" applyNumberFormat="1" applyFont="1" applyFill="1" applyBorder="1" applyAlignment="1">
      <alignment horizontal="center" vertical="center"/>
    </xf>
    <xf numFmtId="3" fontId="46" fillId="10" borderId="0" xfId="2564" applyNumberFormat="1" applyFont="1" applyFill="1" applyBorder="1" applyAlignment="1">
      <alignment horizontal="center" vertical="center"/>
    </xf>
    <xf numFmtId="0" fontId="44" fillId="10" borderId="0" xfId="2564" applyFont="1" applyFill="1" applyBorder="1" applyAlignment="1">
      <alignment horizontal="center" vertical="center"/>
    </xf>
    <xf numFmtId="0" fontId="49" fillId="10" borderId="0" xfId="2564" applyFont="1" applyFill="1" applyBorder="1" applyAlignment="1">
      <alignment horizontal="center" vertical="center"/>
    </xf>
    <xf numFmtId="0" fontId="46" fillId="10" borderId="0" xfId="2564" applyFont="1" applyFill="1" applyBorder="1" applyAlignment="1">
      <alignment horizontal="center" vertical="center"/>
    </xf>
    <xf numFmtId="41" fontId="46" fillId="10" borderId="0" xfId="1958" applyFont="1" applyFill="1" applyBorder="1" applyAlignment="1">
      <alignment horizontal="center" vertical="center"/>
    </xf>
    <xf numFmtId="0" fontId="46" fillId="10" borderId="21" xfId="2564" applyFont="1" applyFill="1" applyBorder="1" applyAlignment="1">
      <alignment horizontal="center" vertical="center" wrapText="1"/>
    </xf>
    <xf numFmtId="0" fontId="46" fillId="10" borderId="24" xfId="2564" applyFont="1" applyFill="1" applyBorder="1" applyAlignment="1">
      <alignment horizontal="center" vertical="center" wrapText="1"/>
    </xf>
    <xf numFmtId="0" fontId="46" fillId="10" borderId="17" xfId="2564" applyFont="1" applyFill="1" applyBorder="1" applyAlignment="1">
      <alignment horizontal="center" vertical="center" wrapText="1"/>
    </xf>
    <xf numFmtId="0" fontId="46" fillId="0" borderId="123" xfId="2564" applyFont="1" applyFill="1" applyBorder="1" applyAlignment="1">
      <alignment horizontal="center" vertical="center"/>
    </xf>
    <xf numFmtId="0" fontId="46" fillId="0" borderId="137" xfId="2564" applyFont="1" applyFill="1" applyBorder="1" applyAlignment="1">
      <alignment horizontal="center" vertical="center"/>
    </xf>
    <xf numFmtId="0" fontId="46" fillId="0" borderId="130" xfId="2564" applyFont="1" applyFill="1" applyBorder="1" applyAlignment="1">
      <alignment horizontal="center" vertical="center"/>
    </xf>
    <xf numFmtId="0" fontId="49" fillId="10" borderId="125" xfId="2564" applyFont="1" applyFill="1" applyBorder="1" applyAlignment="1">
      <alignment horizontal="center" vertical="center"/>
    </xf>
    <xf numFmtId="0" fontId="46" fillId="10" borderId="125" xfId="2564" applyFont="1" applyFill="1" applyBorder="1" applyAlignment="1">
      <alignment horizontal="center" vertical="center"/>
    </xf>
    <xf numFmtId="0" fontId="52" fillId="10" borderId="0" xfId="2564" applyFont="1" applyFill="1" applyBorder="1" applyAlignment="1">
      <alignment horizontal="left" vertical="center"/>
    </xf>
    <xf numFmtId="3" fontId="46" fillId="0" borderId="27" xfId="2564" applyNumberFormat="1" applyFont="1" applyFill="1" applyBorder="1" applyAlignment="1">
      <alignment vertical="center"/>
    </xf>
    <xf numFmtId="3" fontId="46" fillId="0" borderId="6" xfId="2564" applyNumberFormat="1" applyFont="1" applyFill="1" applyBorder="1" applyAlignment="1">
      <alignment vertical="center"/>
    </xf>
    <xf numFmtId="3" fontId="46" fillId="0" borderId="28" xfId="2564" applyNumberFormat="1" applyFont="1" applyFill="1" applyBorder="1" applyAlignment="1">
      <alignment vertical="center"/>
    </xf>
    <xf numFmtId="3" fontId="46" fillId="10" borderId="133" xfId="2564" applyNumberFormat="1" applyFont="1" applyFill="1" applyBorder="1" applyAlignment="1">
      <alignment vertical="center"/>
    </xf>
    <xf numFmtId="3" fontId="46" fillId="10" borderId="134" xfId="2564" applyNumberFormat="1" applyFont="1" applyFill="1" applyBorder="1" applyAlignment="1">
      <alignment vertical="center"/>
    </xf>
    <xf numFmtId="3" fontId="46" fillId="10" borderId="135" xfId="2564" applyNumberFormat="1" applyFont="1" applyFill="1" applyBorder="1" applyAlignment="1">
      <alignment vertical="center"/>
    </xf>
    <xf numFmtId="0" fontId="46" fillId="10" borderId="131" xfId="2564" applyFont="1" applyFill="1" applyBorder="1" applyAlignment="1">
      <alignment horizontal="center" vertical="center" wrapText="1"/>
    </xf>
    <xf numFmtId="0" fontId="46" fillId="10" borderId="132" xfId="2564" applyFont="1" applyFill="1" applyBorder="1" applyAlignment="1">
      <alignment horizontal="center" vertical="center" wrapText="1"/>
    </xf>
    <xf numFmtId="0" fontId="46" fillId="10" borderId="25" xfId="2564" applyFont="1" applyFill="1" applyBorder="1" applyAlignment="1">
      <alignment horizontal="center" vertical="center" wrapText="1"/>
    </xf>
    <xf numFmtId="0" fontId="46" fillId="10" borderId="133" xfId="2564" applyFont="1" applyFill="1" applyBorder="1" applyAlignment="1">
      <alignment horizontal="center" vertical="center" wrapText="1"/>
    </xf>
    <xf numFmtId="0" fontId="46" fillId="10" borderId="135" xfId="2564" applyFont="1" applyFill="1" applyBorder="1" applyAlignment="1">
      <alignment horizontal="center" vertical="center" wrapText="1"/>
    </xf>
    <xf numFmtId="3" fontId="46" fillId="10" borderId="55" xfId="2564" applyNumberFormat="1" applyFont="1" applyFill="1" applyBorder="1" applyAlignment="1">
      <alignment vertical="center"/>
    </xf>
    <xf numFmtId="3" fontId="46" fillId="10" borderId="56" xfId="2564" applyNumberFormat="1" applyFont="1" applyFill="1" applyBorder="1" applyAlignment="1">
      <alignment vertical="center"/>
    </xf>
    <xf numFmtId="3" fontId="46" fillId="10" borderId="57" xfId="2564" applyNumberFormat="1" applyFont="1" applyFill="1" applyBorder="1" applyAlignment="1">
      <alignment vertical="center"/>
    </xf>
    <xf numFmtId="41" fontId="141" fillId="0" borderId="0" xfId="2787" applyFont="1" applyAlignment="1">
      <alignment horizontal="center" vertical="center"/>
    </xf>
    <xf numFmtId="41" fontId="145" fillId="49" borderId="80" xfId="2787" applyFont="1" applyFill="1" applyBorder="1" applyAlignment="1">
      <alignment horizontal="center" vertical="center"/>
    </xf>
    <xf numFmtId="41" fontId="145" fillId="49" borderId="127" xfId="2787" applyFont="1" applyFill="1" applyBorder="1" applyAlignment="1">
      <alignment horizontal="center" vertical="center"/>
    </xf>
    <xf numFmtId="41" fontId="145" fillId="49" borderId="30" xfId="2787" applyFont="1" applyFill="1" applyBorder="1" applyAlignment="1">
      <alignment horizontal="center" vertical="center"/>
    </xf>
    <xf numFmtId="41" fontId="145" fillId="49" borderId="128" xfId="2787" applyFont="1" applyFill="1" applyBorder="1" applyAlignment="1">
      <alignment horizontal="center" vertical="center"/>
    </xf>
    <xf numFmtId="234" fontId="145" fillId="49" borderId="30" xfId="2787" applyNumberFormat="1" applyFont="1" applyFill="1" applyBorder="1" applyAlignment="1">
      <alignment horizontal="center" vertical="center"/>
    </xf>
    <xf numFmtId="234" fontId="145" fillId="49" borderId="128" xfId="2787" applyNumberFormat="1" applyFont="1" applyFill="1" applyBorder="1" applyAlignment="1">
      <alignment horizontal="center" vertical="center"/>
    </xf>
    <xf numFmtId="41" fontId="145" fillId="0" borderId="85" xfId="2787" applyFont="1" applyBorder="1" applyAlignment="1">
      <alignment horizontal="center" vertical="center" wrapText="1"/>
    </xf>
    <xf numFmtId="41" fontId="145" fillId="0" borderId="89" xfId="2787" applyFont="1" applyBorder="1" applyAlignment="1">
      <alignment horizontal="center" vertical="center" wrapText="1"/>
    </xf>
    <xf numFmtId="41" fontId="145" fillId="0" borderId="38" xfId="2787" applyFont="1" applyBorder="1" applyAlignment="1">
      <alignment horizontal="center" vertical="center"/>
    </xf>
    <xf numFmtId="41" fontId="145" fillId="0" borderId="85" xfId="2787" applyFont="1" applyBorder="1" applyAlignment="1">
      <alignment horizontal="center" vertical="center"/>
    </xf>
    <xf numFmtId="41" fontId="145" fillId="0" borderId="89" xfId="2787" applyFont="1" applyBorder="1" applyAlignment="1">
      <alignment horizontal="center" vertical="center"/>
    </xf>
    <xf numFmtId="41" fontId="146" fillId="49" borderId="30" xfId="2787" applyFont="1" applyFill="1" applyBorder="1" applyAlignment="1">
      <alignment horizontal="center" vertical="center" wrapText="1"/>
    </xf>
    <xf numFmtId="41" fontId="146" fillId="49" borderId="128" xfId="2787" applyFont="1" applyFill="1" applyBorder="1" applyAlignment="1">
      <alignment horizontal="center" vertical="center" wrapText="1"/>
    </xf>
    <xf numFmtId="41" fontId="145" fillId="49" borderId="81" xfId="2787" applyFont="1" applyFill="1" applyBorder="1" applyAlignment="1">
      <alignment horizontal="center" vertical="center"/>
    </xf>
    <xf numFmtId="41" fontId="145" fillId="49" borderId="129" xfId="2787" applyFont="1" applyFill="1" applyBorder="1" applyAlignment="1">
      <alignment horizontal="center" vertical="center"/>
    </xf>
    <xf numFmtId="0" fontId="43" fillId="10" borderId="0" xfId="2564" applyNumberFormat="1" applyFont="1" applyFill="1" applyAlignment="1" applyProtection="1">
      <alignment horizontal="left" vertical="center"/>
      <protection locked="0"/>
    </xf>
    <xf numFmtId="0" fontId="9" fillId="10" borderId="2" xfId="2564" applyFont="1" applyFill="1" applyBorder="1" applyAlignment="1">
      <alignment horizontal="center" vertical="center"/>
    </xf>
    <xf numFmtId="0" fontId="29" fillId="10" borderId="0" xfId="2564" applyFill="1" applyBorder="1" applyAlignment="1">
      <alignment horizontal="center" vertical="center"/>
    </xf>
    <xf numFmtId="0" fontId="29" fillId="10" borderId="0" xfId="2564" applyFont="1" applyFill="1" applyAlignment="1">
      <alignment horizontal="left" vertical="center"/>
    </xf>
    <xf numFmtId="0" fontId="9" fillId="10" borderId="27" xfId="2564" applyFont="1" applyFill="1" applyBorder="1" applyAlignment="1">
      <alignment horizontal="center" vertical="center"/>
    </xf>
    <xf numFmtId="0" fontId="9" fillId="10" borderId="6" xfId="2564" applyFont="1" applyFill="1" applyBorder="1" applyAlignment="1">
      <alignment horizontal="center" vertical="center"/>
    </xf>
    <xf numFmtId="0" fontId="9" fillId="10" borderId="28" xfId="2564" applyFont="1" applyFill="1" applyBorder="1" applyAlignment="1">
      <alignment horizontal="center" vertical="center"/>
    </xf>
    <xf numFmtId="0" fontId="44" fillId="10" borderId="2" xfId="2564" applyFont="1" applyFill="1" applyBorder="1" applyAlignment="1">
      <alignment horizontal="center" vertical="center" textRotation="255" wrapText="1"/>
    </xf>
    <xf numFmtId="0" fontId="44" fillId="10" borderId="2" xfId="2564" applyFont="1" applyFill="1" applyBorder="1" applyAlignment="1">
      <alignment horizontal="center" vertical="center" textRotation="255"/>
    </xf>
    <xf numFmtId="0" fontId="9" fillId="10" borderId="21" xfId="2564" applyFont="1" applyFill="1" applyBorder="1" applyAlignment="1">
      <alignment horizontal="center" vertical="center"/>
    </xf>
    <xf numFmtId="0" fontId="9" fillId="10" borderId="19" xfId="2564" applyFont="1" applyFill="1" applyBorder="1" applyAlignment="1">
      <alignment horizontal="center" vertical="center"/>
    </xf>
    <xf numFmtId="0" fontId="9" fillId="10" borderId="17" xfId="2564" applyFont="1" applyFill="1" applyBorder="1" applyAlignment="1">
      <alignment horizontal="center" vertical="center"/>
    </xf>
    <xf numFmtId="0" fontId="9" fillId="10" borderId="12" xfId="2564" applyFont="1" applyFill="1" applyBorder="1" applyAlignment="1">
      <alignment horizontal="center" vertical="center"/>
    </xf>
    <xf numFmtId="0" fontId="9" fillId="10" borderId="2" xfId="2564" applyFont="1" applyFill="1" applyBorder="1" applyAlignment="1">
      <alignment horizontal="center" vertical="center" wrapText="1"/>
    </xf>
    <xf numFmtId="0" fontId="45" fillId="10" borderId="27" xfId="2564" applyFont="1" applyFill="1" applyBorder="1" applyAlignment="1">
      <alignment vertical="center"/>
    </xf>
    <xf numFmtId="0" fontId="45" fillId="10" borderId="28" xfId="2564" applyFont="1" applyFill="1" applyBorder="1" applyAlignment="1">
      <alignment vertical="center"/>
    </xf>
    <xf numFmtId="3" fontId="29" fillId="10" borderId="0" xfId="2564" applyNumberFormat="1" applyFill="1" applyAlignment="1">
      <alignment vertical="center"/>
    </xf>
    <xf numFmtId="0" fontId="45" fillId="10" borderId="27" xfId="2564" applyFont="1" applyFill="1" applyBorder="1" applyAlignment="1">
      <alignment horizontal="center" vertical="center"/>
    </xf>
    <xf numFmtId="0" fontId="45" fillId="10" borderId="28" xfId="2564" applyFont="1" applyFill="1" applyBorder="1" applyAlignment="1">
      <alignment horizontal="center" vertical="center"/>
    </xf>
    <xf numFmtId="0" fontId="45" fillId="10" borderId="6" xfId="2564" applyFont="1" applyFill="1" applyBorder="1" applyAlignment="1">
      <alignment horizontal="center" vertical="center"/>
    </xf>
    <xf numFmtId="0" fontId="44" fillId="10" borderId="15" xfId="2564" applyFont="1" applyFill="1" applyBorder="1" applyAlignment="1">
      <alignment horizontal="center" vertical="center" wrapText="1"/>
    </xf>
    <xf numFmtId="0" fontId="44" fillId="10" borderId="26" xfId="2564" applyFont="1" applyFill="1" applyBorder="1" applyAlignment="1">
      <alignment horizontal="center" vertical="center" wrapText="1"/>
    </xf>
    <xf numFmtId="0" fontId="44" fillId="10" borderId="14" xfId="2564" applyFont="1" applyFill="1" applyBorder="1" applyAlignment="1">
      <alignment horizontal="center" vertical="center" wrapText="1"/>
    </xf>
    <xf numFmtId="41" fontId="46" fillId="10" borderId="15" xfId="1958" applyFont="1" applyFill="1" applyBorder="1" applyAlignment="1">
      <alignment horizontal="center" vertical="center"/>
    </xf>
    <xf numFmtId="41" fontId="46" fillId="10" borderId="26" xfId="1958" applyFont="1" applyFill="1" applyBorder="1" applyAlignment="1">
      <alignment horizontal="center" vertical="center"/>
    </xf>
    <xf numFmtId="41" fontId="46" fillId="10" borderId="14" xfId="1958" applyFont="1" applyFill="1" applyBorder="1" applyAlignment="1">
      <alignment horizontal="center" vertical="center"/>
    </xf>
    <xf numFmtId="0" fontId="45" fillId="10" borderId="2" xfId="2564" applyFont="1" applyFill="1" applyBorder="1" applyAlignment="1">
      <alignment horizontal="center" vertical="center"/>
    </xf>
    <xf numFmtId="3" fontId="29" fillId="10" borderId="0" xfId="2564" applyNumberFormat="1" applyFont="1" applyFill="1" applyBorder="1" applyAlignment="1">
      <alignment horizontal="center" vertical="center"/>
    </xf>
    <xf numFmtId="0" fontId="48" fillId="0" borderId="62" xfId="2557" applyFont="1" applyBorder="1" applyAlignment="1">
      <alignment horizontal="center" vertical="center" wrapText="1"/>
    </xf>
    <xf numFmtId="0" fontId="48" fillId="0" borderId="63" xfId="2557" applyFont="1" applyBorder="1" applyAlignment="1">
      <alignment horizontal="center" vertical="center" wrapText="1"/>
    </xf>
    <xf numFmtId="41" fontId="44" fillId="15" borderId="35" xfId="2564" applyNumberFormat="1" applyFont="1" applyFill="1" applyBorder="1" applyAlignment="1">
      <alignment horizontal="center" vertical="center"/>
    </xf>
    <xf numFmtId="0" fontId="44" fillId="15" borderId="35" xfId="2564" applyFont="1" applyFill="1" applyBorder="1" applyAlignment="1">
      <alignment horizontal="center" vertical="center"/>
    </xf>
    <xf numFmtId="0" fontId="48" fillId="0" borderId="23" xfId="2557" applyFont="1" applyBorder="1" applyAlignment="1">
      <alignment horizontal="center" vertical="center" wrapText="1"/>
    </xf>
    <xf numFmtId="0" fontId="48" fillId="0" borderId="37" xfId="2557" applyFont="1" applyBorder="1" applyAlignment="1">
      <alignment horizontal="center" vertical="center" wrapText="1"/>
    </xf>
    <xf numFmtId="3" fontId="9" fillId="10" borderId="27" xfId="2564" applyNumberFormat="1" applyFont="1" applyFill="1" applyBorder="1" applyAlignment="1">
      <alignment horizontal="center" vertical="center"/>
    </xf>
    <xf numFmtId="3" fontId="9" fillId="10" borderId="28" xfId="2564" applyNumberFormat="1" applyFont="1" applyFill="1" applyBorder="1" applyAlignment="1">
      <alignment horizontal="center" vertical="center"/>
    </xf>
    <xf numFmtId="0" fontId="9" fillId="10" borderId="15" xfId="2564" applyFont="1" applyFill="1" applyBorder="1" applyAlignment="1">
      <alignment horizontal="center" vertical="center"/>
    </xf>
    <xf numFmtId="3" fontId="9" fillId="10" borderId="17" xfId="2564" applyNumberFormat="1" applyFont="1" applyFill="1" applyBorder="1" applyAlignment="1">
      <alignment horizontal="center" vertical="center"/>
    </xf>
    <xf numFmtId="3" fontId="9" fillId="10" borderId="12" xfId="2564" applyNumberFormat="1" applyFont="1" applyFill="1" applyBorder="1" applyAlignment="1">
      <alignment horizontal="center" vertical="center"/>
    </xf>
    <xf numFmtId="3" fontId="44" fillId="15" borderId="35" xfId="2564" applyNumberFormat="1" applyFont="1" applyFill="1" applyBorder="1" applyAlignment="1">
      <alignment horizontal="center" vertical="center"/>
    </xf>
    <xf numFmtId="0" fontId="9" fillId="10" borderId="26" xfId="2564" applyFont="1" applyFill="1" applyBorder="1" applyAlignment="1">
      <alignment horizontal="center" vertical="center"/>
    </xf>
    <xf numFmtId="0" fontId="9" fillId="10" borderId="24" xfId="2564" applyFont="1" applyFill="1" applyBorder="1" applyAlignment="1">
      <alignment horizontal="center" vertical="center"/>
    </xf>
    <xf numFmtId="3" fontId="9" fillId="10" borderId="64" xfId="2564" applyNumberFormat="1" applyFont="1" applyFill="1" applyBorder="1" applyAlignment="1">
      <alignment horizontal="center" vertical="center"/>
    </xf>
    <xf numFmtId="3" fontId="9" fillId="10" borderId="65" xfId="2564" applyNumberFormat="1" applyFont="1" applyFill="1" applyBorder="1" applyAlignment="1">
      <alignment horizontal="center" vertical="center"/>
    </xf>
    <xf numFmtId="0" fontId="54" fillId="10" borderId="0" xfId="2564" applyFont="1" applyFill="1" applyAlignment="1">
      <alignment horizontal="center" vertical="center"/>
    </xf>
    <xf numFmtId="0" fontId="51" fillId="10" borderId="20" xfId="2564" applyFont="1" applyFill="1" applyBorder="1" applyAlignment="1">
      <alignment horizontal="center" vertical="center"/>
    </xf>
    <xf numFmtId="0" fontId="29" fillId="10" borderId="2" xfId="2564" applyFill="1" applyBorder="1" applyAlignment="1">
      <alignment horizontal="center" vertical="center"/>
    </xf>
    <xf numFmtId="0" fontId="29" fillId="10" borderId="21" xfId="2564" applyFill="1" applyBorder="1" applyAlignment="1">
      <alignment horizontal="center" vertical="center" wrapText="1"/>
    </xf>
    <xf numFmtId="0" fontId="29" fillId="10" borderId="19" xfId="2564" applyFill="1" applyBorder="1" applyAlignment="1">
      <alignment horizontal="center" vertical="center" wrapText="1"/>
    </xf>
    <xf numFmtId="0" fontId="29" fillId="10" borderId="17" xfId="2564" applyFill="1" applyBorder="1" applyAlignment="1">
      <alignment horizontal="center" vertical="center" wrapText="1"/>
    </xf>
    <xf numFmtId="0" fontId="29" fillId="10" borderId="12" xfId="2564" applyFill="1" applyBorder="1" applyAlignment="1">
      <alignment horizontal="center" vertical="center" wrapText="1"/>
    </xf>
    <xf numFmtId="0" fontId="9" fillId="0" borderId="27" xfId="2564" applyFont="1" applyFill="1" applyBorder="1" applyAlignment="1">
      <alignment horizontal="center" vertical="center"/>
    </xf>
    <xf numFmtId="0" fontId="9" fillId="0" borderId="28" xfId="2564" applyFont="1" applyFill="1" applyBorder="1" applyAlignment="1">
      <alignment horizontal="center" vertical="center"/>
    </xf>
    <xf numFmtId="0" fontId="44" fillId="10" borderId="14" xfId="2564" applyFont="1" applyFill="1" applyBorder="1" applyAlignment="1">
      <alignment horizontal="center" vertical="center"/>
    </xf>
    <xf numFmtId="3" fontId="29" fillId="10" borderId="0" xfId="2564" applyNumberFormat="1" applyFont="1" applyFill="1" applyBorder="1" applyAlignment="1">
      <alignment horizontal="right" vertical="center"/>
    </xf>
    <xf numFmtId="0" fontId="9" fillId="10" borderId="64" xfId="2564" applyFont="1" applyFill="1" applyBorder="1" applyAlignment="1">
      <alignment horizontal="center" vertical="center"/>
    </xf>
    <xf numFmtId="0" fontId="9" fillId="10" borderId="65" xfId="2564" applyFont="1" applyFill="1" applyBorder="1" applyAlignment="1">
      <alignment horizontal="center" vertical="center"/>
    </xf>
    <xf numFmtId="0" fontId="9" fillId="16" borderId="27" xfId="2564" applyFont="1" applyFill="1" applyBorder="1" applyAlignment="1">
      <alignment horizontal="center" vertical="center"/>
    </xf>
    <xf numFmtId="0" fontId="9" fillId="16" borderId="28" xfId="2564" applyFont="1" applyFill="1" applyBorder="1" applyAlignment="1">
      <alignment horizontal="center" vertical="center"/>
    </xf>
    <xf numFmtId="41" fontId="48" fillId="0" borderId="2" xfId="2557" applyNumberFormat="1" applyFont="1" applyBorder="1" applyAlignment="1">
      <alignment horizontal="center" vertical="center" wrapText="1"/>
    </xf>
    <xf numFmtId="0" fontId="48" fillId="0" borderId="2" xfId="2557" applyFont="1" applyBorder="1" applyAlignment="1">
      <alignment horizontal="center" vertical="center" wrapText="1"/>
    </xf>
    <xf numFmtId="0" fontId="9" fillId="10" borderId="66" xfId="2564" applyFont="1" applyFill="1" applyBorder="1" applyAlignment="1">
      <alignment horizontal="center" vertical="center"/>
    </xf>
    <xf numFmtId="0" fontId="44" fillId="15" borderId="67" xfId="2564" applyFont="1" applyFill="1" applyBorder="1" applyAlignment="1">
      <alignment horizontal="center" vertical="center"/>
    </xf>
    <xf numFmtId="0" fontId="44" fillId="15" borderId="68" xfId="2564" applyFont="1" applyFill="1" applyBorder="1" applyAlignment="1">
      <alignment horizontal="center" vertical="center"/>
    </xf>
    <xf numFmtId="0" fontId="9" fillId="10" borderId="25" xfId="2564" applyFont="1" applyFill="1" applyBorder="1" applyAlignment="1">
      <alignment horizontal="center" vertical="center"/>
    </xf>
    <xf numFmtId="0" fontId="149" fillId="50" borderId="113" xfId="2520" applyFont="1" applyFill="1" applyBorder="1" applyAlignment="1">
      <alignment horizontal="center" vertical="center" shrinkToFit="1"/>
    </xf>
    <xf numFmtId="0" fontId="149" fillId="50" borderId="114" xfId="2520" applyFont="1" applyFill="1" applyBorder="1" applyAlignment="1">
      <alignment horizontal="center" vertical="center" shrinkToFit="1"/>
    </xf>
    <xf numFmtId="0" fontId="151" fillId="0" borderId="0" xfId="2520" applyFont="1" applyFill="1" applyBorder="1" applyAlignment="1">
      <alignment horizontal="left" vertical="center" shrinkToFit="1"/>
    </xf>
    <xf numFmtId="0" fontId="149" fillId="49" borderId="34" xfId="2520" applyFont="1" applyFill="1" applyBorder="1" applyAlignment="1">
      <alignment horizontal="center" vertical="center" shrinkToFit="1"/>
    </xf>
    <xf numFmtId="0" fontId="149" fillId="49" borderId="35" xfId="2520" applyFont="1" applyFill="1" applyBorder="1" applyAlignment="1">
      <alignment horizontal="center" vertical="center" shrinkToFit="1"/>
    </xf>
    <xf numFmtId="0" fontId="149" fillId="0" borderId="82" xfId="2520" applyFont="1" applyFill="1" applyBorder="1" applyAlignment="1">
      <alignment horizontal="center" vertical="center" shrinkToFit="1"/>
    </xf>
    <xf numFmtId="0" fontId="149" fillId="0" borderId="83" xfId="2520" applyFont="1" applyFill="1" applyBorder="1" applyAlignment="1">
      <alignment horizontal="center" vertical="center" shrinkToFit="1"/>
    </xf>
    <xf numFmtId="0" fontId="149" fillId="0" borderId="109" xfId="2520" applyFont="1" applyFill="1" applyBorder="1" applyAlignment="1">
      <alignment horizontal="center" vertical="center" shrinkToFit="1"/>
    </xf>
    <xf numFmtId="0" fontId="149" fillId="0" borderId="33" xfId="2520" applyFont="1" applyFill="1" applyBorder="1" applyAlignment="1">
      <alignment horizontal="center" vertical="center" shrinkToFit="1"/>
    </xf>
    <xf numFmtId="0" fontId="149" fillId="0" borderId="113" xfId="2520" applyFont="1" applyFill="1" applyBorder="1" applyAlignment="1">
      <alignment horizontal="center" vertical="center" shrinkToFit="1"/>
    </xf>
    <xf numFmtId="0" fontId="149" fillId="0" borderId="114" xfId="2520" applyFont="1" applyFill="1" applyBorder="1" applyAlignment="1">
      <alignment horizontal="center" vertical="center" shrinkToFit="1"/>
    </xf>
    <xf numFmtId="0" fontId="149" fillId="0" borderId="80" xfId="2520" applyFont="1" applyFill="1" applyBorder="1" applyAlignment="1">
      <alignment horizontal="center" vertical="center" shrinkToFit="1"/>
    </xf>
    <xf numFmtId="0" fontId="149" fillId="0" borderId="30" xfId="2520" applyFont="1" applyFill="1" applyBorder="1" applyAlignment="1">
      <alignment horizontal="center" vertical="center" shrinkToFit="1"/>
    </xf>
    <xf numFmtId="0" fontId="53" fillId="0" borderId="0" xfId="2520" applyFont="1" applyFill="1" applyBorder="1" applyAlignment="1">
      <alignment horizontal="center" vertical="center" shrinkToFit="1"/>
    </xf>
    <xf numFmtId="41" fontId="74" fillId="10" borderId="31" xfId="1989" applyFont="1" applyFill="1" applyBorder="1" applyAlignment="1">
      <alignment horizontal="right" vertical="center" wrapText="1"/>
    </xf>
    <xf numFmtId="41" fontId="74" fillId="10" borderId="44" xfId="1989" applyFont="1" applyFill="1" applyBorder="1" applyAlignment="1">
      <alignment horizontal="right" vertical="center" wrapText="1"/>
    </xf>
    <xf numFmtId="3" fontId="74" fillId="10" borderId="31" xfId="2557" applyNumberFormat="1" applyFont="1" applyFill="1" applyBorder="1" applyAlignment="1">
      <alignment horizontal="right" vertical="center" wrapText="1"/>
    </xf>
    <xf numFmtId="3" fontId="74" fillId="10" borderId="44" xfId="2557" applyNumberFormat="1" applyFont="1" applyFill="1" applyBorder="1" applyAlignment="1">
      <alignment horizontal="right" vertical="center" wrapText="1"/>
    </xf>
    <xf numFmtId="207" fontId="89" fillId="10" borderId="2" xfId="0" applyNumberFormat="1" applyFont="1" applyFill="1" applyBorder="1">
      <alignment vertical="center"/>
    </xf>
    <xf numFmtId="207" fontId="90" fillId="10" borderId="2" xfId="0" applyNumberFormat="1" applyFont="1" applyFill="1" applyBorder="1">
      <alignment vertical="center"/>
    </xf>
    <xf numFmtId="0" fontId="0" fillId="0" borderId="0" xfId="0">
      <alignment vertical="center"/>
    </xf>
    <xf numFmtId="41" fontId="74" fillId="10" borderId="31" xfId="1989" applyFont="1" applyFill="1" applyBorder="1" applyAlignment="1">
      <alignment horizontal="center" vertical="center" wrapText="1"/>
    </xf>
    <xf numFmtId="41" fontId="74" fillId="10" borderId="44" xfId="1989" applyFont="1" applyFill="1" applyBorder="1" applyAlignment="1">
      <alignment horizontal="center" vertical="center" wrapText="1"/>
    </xf>
    <xf numFmtId="41" fontId="74" fillId="10" borderId="48" xfId="1989" applyFont="1" applyFill="1" applyBorder="1" applyAlignment="1">
      <alignment horizontal="right" vertical="center" wrapText="1"/>
    </xf>
    <xf numFmtId="41" fontId="74" fillId="10" borderId="47" xfId="1989" applyFont="1" applyFill="1" applyBorder="1" applyAlignment="1">
      <alignment horizontal="right" vertical="center" wrapText="1"/>
    </xf>
    <xf numFmtId="0" fontId="48" fillId="10" borderId="45" xfId="2557" applyFont="1" applyFill="1" applyBorder="1" applyAlignment="1">
      <alignment horizontal="center" vertical="center" wrapText="1"/>
    </xf>
    <xf numFmtId="0" fontId="89" fillId="10" borderId="2" xfId="0" applyFont="1" applyFill="1" applyBorder="1">
      <alignment vertical="center"/>
    </xf>
    <xf numFmtId="0" fontId="48" fillId="10" borderId="44" xfId="2557" applyFont="1" applyFill="1" applyBorder="1" applyAlignment="1">
      <alignment horizontal="center" vertical="center" wrapText="1"/>
    </xf>
    <xf numFmtId="207" fontId="74" fillId="10" borderId="2" xfId="1989" applyNumberFormat="1" applyFont="1" applyFill="1" applyBorder="1" applyAlignment="1">
      <alignment horizontal="right" vertical="center" wrapText="1"/>
    </xf>
    <xf numFmtId="41" fontId="74" fillId="10" borderId="45" xfId="1989" applyFont="1" applyFill="1" applyBorder="1" applyAlignment="1">
      <alignment horizontal="right" vertical="center" wrapText="1"/>
    </xf>
    <xf numFmtId="0" fontId="48" fillId="10" borderId="31" xfId="2557" applyFont="1" applyFill="1" applyBorder="1" applyAlignment="1">
      <alignment horizontal="center" vertical="center" wrapText="1"/>
    </xf>
    <xf numFmtId="203" fontId="74" fillId="10" borderId="31" xfId="1989" applyNumberFormat="1" applyFont="1" applyFill="1" applyBorder="1" applyAlignment="1">
      <alignment horizontal="right" vertical="center" wrapText="1"/>
    </xf>
    <xf numFmtId="0" fontId="48" fillId="10" borderId="31" xfId="2557" applyFont="1" applyFill="1" applyBorder="1" applyAlignment="1">
      <alignment horizontal="left" vertical="center" wrapText="1"/>
    </xf>
    <xf numFmtId="0" fontId="48" fillId="10" borderId="44" xfId="2557" applyFont="1" applyFill="1" applyBorder="1" applyAlignment="1">
      <alignment horizontal="left" vertical="center" wrapText="1"/>
    </xf>
    <xf numFmtId="0" fontId="48" fillId="10" borderId="69" xfId="2560" applyFont="1" applyFill="1" applyBorder="1" applyAlignment="1">
      <alignment horizontal="left" vertical="center" wrapText="1"/>
    </xf>
    <xf numFmtId="0" fontId="48" fillId="10" borderId="70" xfId="2560" applyFont="1" applyFill="1" applyBorder="1" applyAlignment="1">
      <alignment horizontal="left" vertical="center" wrapText="1"/>
    </xf>
    <xf numFmtId="0" fontId="48" fillId="10" borderId="31" xfId="2560" applyFont="1" applyFill="1" applyBorder="1" applyAlignment="1">
      <alignment horizontal="left" vertical="center" wrapText="1"/>
    </xf>
    <xf numFmtId="0" fontId="48" fillId="0" borderId="23" xfId="2557" applyFont="1" applyBorder="1" applyAlignment="1">
      <alignment horizontal="right" vertical="center" wrapText="1"/>
    </xf>
    <xf numFmtId="0" fontId="48" fillId="0" borderId="61" xfId="2557" applyFont="1" applyBorder="1" applyAlignment="1">
      <alignment horizontal="right" vertical="center" wrapText="1"/>
    </xf>
    <xf numFmtId="0" fontId="117" fillId="0" borderId="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149" fillId="0" borderId="34" xfId="2520" applyFont="1" applyFill="1" applyBorder="1" applyAlignment="1">
      <alignment horizontal="center" vertical="center" shrinkToFit="1"/>
    </xf>
    <xf numFmtId="0" fontId="149" fillId="0" borderId="35" xfId="2520" applyFont="1" applyFill="1" applyBorder="1" applyAlignment="1">
      <alignment horizontal="center" vertical="center" shrinkToFit="1"/>
    </xf>
    <xf numFmtId="0" fontId="150" fillId="0" borderId="0" xfId="2520" applyFont="1" applyFill="1" applyBorder="1" applyAlignment="1">
      <alignment horizontal="center" vertical="center" shrinkToFit="1"/>
    </xf>
    <xf numFmtId="0" fontId="150" fillId="0" borderId="38" xfId="2520" applyFont="1" applyFill="1" applyBorder="1" applyAlignment="1">
      <alignment horizontal="center" vertical="center" wrapText="1"/>
    </xf>
    <xf numFmtId="0" fontId="150" fillId="0" borderId="85" xfId="2520" applyFont="1" applyFill="1" applyBorder="1" applyAlignment="1">
      <alignment horizontal="center" vertical="center" wrapText="1"/>
    </xf>
    <xf numFmtId="0" fontId="150" fillId="0" borderId="113" xfId="2520" applyFont="1" applyFill="1" applyBorder="1" applyAlignment="1">
      <alignment horizontal="center" vertical="center" wrapText="1"/>
    </xf>
    <xf numFmtId="201" fontId="152" fillId="0" borderId="108" xfId="1958" applyNumberFormat="1" applyFont="1" applyFill="1" applyBorder="1" applyAlignment="1">
      <alignment horizontal="center" vertical="center" shrinkToFit="1"/>
    </xf>
    <xf numFmtId="201" fontId="152" fillId="0" borderId="26" xfId="1958" applyNumberFormat="1" applyFont="1" applyFill="1" applyBorder="1" applyAlignment="1">
      <alignment horizontal="center" vertical="center" shrinkToFit="1"/>
    </xf>
    <xf numFmtId="201" fontId="152" fillId="0" borderId="114" xfId="1958" applyNumberFormat="1" applyFont="1" applyFill="1" applyBorder="1" applyAlignment="1">
      <alignment horizontal="center" vertical="center" shrinkToFit="1"/>
    </xf>
    <xf numFmtId="0" fontId="149" fillId="0" borderId="113" xfId="2520" applyFont="1" applyBorder="1" applyAlignment="1">
      <alignment horizontal="center" vertical="center" shrinkToFit="1"/>
    </xf>
    <xf numFmtId="0" fontId="149" fillId="0" borderId="114" xfId="2520" applyFont="1" applyBorder="1" applyAlignment="1">
      <alignment horizontal="center" vertical="center" shrinkToFit="1"/>
    </xf>
    <xf numFmtId="0" fontId="150" fillId="0" borderId="123" xfId="2520" applyFont="1" applyBorder="1" applyAlignment="1">
      <alignment horizontal="center" vertical="center" shrinkToFit="1"/>
    </xf>
    <xf numFmtId="0" fontId="150" fillId="0" borderId="130" xfId="2520" applyFont="1" applyBorder="1" applyAlignment="1">
      <alignment horizontal="center" vertical="center" shrinkToFit="1"/>
    </xf>
    <xf numFmtId="0" fontId="53" fillId="0" borderId="0" xfId="2520" applyFont="1" applyAlignment="1">
      <alignment horizontal="center" vertical="center" shrinkToFit="1"/>
    </xf>
    <xf numFmtId="0" fontId="150" fillId="0" borderId="0" xfId="2520" applyFont="1" applyBorder="1" applyAlignment="1">
      <alignment horizontal="center" vertical="center" shrinkToFit="1"/>
    </xf>
    <xf numFmtId="0" fontId="150" fillId="0" borderId="80" xfId="2520" applyFont="1" applyBorder="1" applyAlignment="1">
      <alignment horizontal="center" vertical="center" wrapText="1"/>
    </xf>
    <xf numFmtId="0" fontId="150" fillId="0" borderId="124" xfId="2520" applyFont="1" applyBorder="1" applyAlignment="1">
      <alignment horizontal="center" vertical="center" wrapText="1"/>
    </xf>
    <xf numFmtId="0" fontId="153" fillId="0" borderId="124" xfId="0" applyFont="1" applyBorder="1">
      <alignment vertical="center"/>
    </xf>
    <xf numFmtId="0" fontId="153" fillId="0" borderId="127" xfId="0" applyFont="1" applyBorder="1">
      <alignment vertical="center"/>
    </xf>
    <xf numFmtId="0" fontId="150" fillId="0" borderId="125" xfId="2520" applyFont="1" applyBorder="1" applyAlignment="1">
      <alignment horizontal="center" vertical="center" shrinkToFit="1"/>
    </xf>
    <xf numFmtId="0" fontId="150" fillId="0" borderId="128" xfId="2520" applyFont="1" applyBorder="1" applyAlignment="1">
      <alignment horizontal="center" vertical="center" shrinkToFit="1"/>
    </xf>
    <xf numFmtId="202" fontId="150" fillId="0" borderId="125" xfId="2520" applyNumberFormat="1" applyFont="1" applyBorder="1" applyAlignment="1">
      <alignment horizontal="right" vertical="center" shrinkToFit="1"/>
    </xf>
    <xf numFmtId="41" fontId="150" fillId="0" borderId="108" xfId="1961" applyFont="1" applyBorder="1" applyAlignment="1">
      <alignment horizontal="center" vertical="center" shrinkToFit="1"/>
    </xf>
    <xf numFmtId="41" fontId="150" fillId="0" borderId="26" xfId="1961" applyFont="1" applyBorder="1" applyAlignment="1">
      <alignment horizontal="center" vertical="center" shrinkToFit="1"/>
    </xf>
    <xf numFmtId="41" fontId="150" fillId="0" borderId="111" xfId="1961" applyFont="1" applyBorder="1" applyAlignment="1">
      <alignment horizontal="center" vertical="center" shrinkToFit="1"/>
    </xf>
    <xf numFmtId="0" fontId="46" fillId="10" borderId="21" xfId="2564" applyFont="1" applyFill="1" applyBorder="1" applyAlignment="1">
      <alignment horizontal="center" vertical="center"/>
    </xf>
    <xf numFmtId="0" fontId="46" fillId="10" borderId="18" xfId="2564" applyFont="1" applyFill="1" applyBorder="1" applyAlignment="1">
      <alignment horizontal="center" vertical="center"/>
    </xf>
    <xf numFmtId="0" fontId="46" fillId="10" borderId="19" xfId="2564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46" fillId="10" borderId="2" xfId="2564" applyFont="1" applyFill="1" applyBorder="1" applyAlignment="1">
      <alignment horizontal="center" vertical="center" textRotation="255" wrapText="1"/>
    </xf>
  </cellXfs>
  <cellStyles count="2791">
    <cellStyle name="&quot;도급대비 &quot;백분율" xfId="1" xr:uid="{00000000-0005-0000-0000-000000000000}"/>
    <cellStyle name="&quot;도급대비&quot;백분율" xfId="2" xr:uid="{00000000-0005-0000-0000-000001000000}"/>
    <cellStyle name="&quot;도급대비&quot;표준" xfId="3" xr:uid="{00000000-0005-0000-0000-000002000000}"/>
    <cellStyle name="#,##0" xfId="4" xr:uid="{00000000-0005-0000-0000-000003000000}"/>
    <cellStyle name="?" xfId="5" xr:uid="{00000000-0005-0000-0000-000004000000}"/>
    <cellStyle name="??&amp;O?&amp;H?_x0008__x000f__x0007_?_x0007__x0001__x0001_" xfId="6" xr:uid="{00000000-0005-0000-0000-000005000000}"/>
    <cellStyle name="??&amp;O?&amp;H?_x0008_??_x0007__x0001__x0001_" xfId="7" xr:uid="{00000000-0005-0000-0000-000006000000}"/>
    <cellStyle name="??&amp;O?&amp;H?_x0008_??_x0007__x0001__x0001_ 2" xfId="8" xr:uid="{00000000-0005-0000-0000-000007000000}"/>
    <cellStyle name="??_?.????" xfId="9" xr:uid="{00000000-0005-0000-0000-000008000000}"/>
    <cellStyle name="?W?_laroux" xfId="10" xr:uid="{00000000-0005-0000-0000-000009000000}"/>
    <cellStyle name="_10월직영출력현황-노무비집계표-후처리설비" xfId="11" xr:uid="{00000000-0005-0000-0000-00000A000000}"/>
    <cellStyle name="_12월철근목수노무비명세서" xfId="12" xr:uid="{00000000-0005-0000-0000-00000B000000}"/>
    <cellStyle name="_12월철근목수노무비명세서_02월 공사자금청구서(토목)" xfId="13" xr:uid="{00000000-0005-0000-0000-00000C000000}"/>
    <cellStyle name="_12월철근목수노무비명세서_10월직영출력현황-노무비집계표-후처리설비" xfId="14" xr:uid="{00000000-0005-0000-0000-00000D000000}"/>
    <cellStyle name="_12월철근목수노무비명세서_2005년05월철콘노임" xfId="15" xr:uid="{00000000-0005-0000-0000-00000E000000}"/>
    <cellStyle name="_12월철근목수노무비명세서_2005년05월철콘노임_02월 공사자금청구서(토목)" xfId="16" xr:uid="{00000000-0005-0000-0000-00000F000000}"/>
    <cellStyle name="_12월철근목수노무비명세서_2005년05월철콘노임_10월직영출력현황-노무비집계표-후처리설비" xfId="17" xr:uid="{00000000-0005-0000-0000-000010000000}"/>
    <cellStyle name="_12월철근목수노무비명세서_2005년05월철콘노임_6월기성자료" xfId="18" xr:uid="{00000000-0005-0000-0000-000011000000}"/>
    <cellStyle name="_12월철근목수노무비명세서_2005년05월철콘노임_6월기성청구-세아베스틸" xfId="19" xr:uid="{00000000-0005-0000-0000-000012000000}"/>
    <cellStyle name="_12월철근목수노무비명세서_2005년05월철콘노임_6월기성청구-세아베스틸_10월직영출력현황-노무비집계표-후처리설비" xfId="20" xr:uid="{00000000-0005-0000-0000-000013000000}"/>
    <cellStyle name="_12월철근목수노무비명세서_2005년05월철콘노임_6월기성청구-세아베스틸_6월기성자료" xfId="21" xr:uid="{00000000-0005-0000-0000-000014000000}"/>
    <cellStyle name="_12월철근목수노무비명세서_2005년05월철콘노임_6월기성청구-세아베스틸_7월기성자료-빌렛2차" xfId="22" xr:uid="{00000000-0005-0000-0000-000015000000}"/>
    <cellStyle name="_12월철근목수노무비명세서_2005년05월철콘노임_6월기성청구-세아베스틸_7월기성청구-요양원" xfId="23" xr:uid="{00000000-0005-0000-0000-000016000000}"/>
    <cellStyle name="_12월철근목수노무비명세서_2005년05월철콘노임_6월말공사자금청구서" xfId="24" xr:uid="{00000000-0005-0000-0000-000017000000}"/>
    <cellStyle name="_12월철근목수노무비명세서_2005년05월철콘노임_7월기성자료-빌렛2차" xfId="25" xr:uid="{00000000-0005-0000-0000-000018000000}"/>
    <cellStyle name="_12월철근목수노무비명세서_2005년05월철콘노임_월말공사자금청구서(4월)" xfId="26" xr:uid="{00000000-0005-0000-0000-000019000000}"/>
    <cellStyle name="_12월철근목수노무비명세서_6월기성자료" xfId="27" xr:uid="{00000000-0005-0000-0000-00001A000000}"/>
    <cellStyle name="_12월철근목수노무비명세서_6월기성청구-세아베스틸" xfId="28" xr:uid="{00000000-0005-0000-0000-00001B000000}"/>
    <cellStyle name="_12월철근목수노무비명세서_6월기성청구-세아베스틸_10월직영출력현황-노무비집계표-후처리설비" xfId="29" xr:uid="{00000000-0005-0000-0000-00001C000000}"/>
    <cellStyle name="_12월철근목수노무비명세서_6월기성청구-세아베스틸_6월기성자료" xfId="30" xr:uid="{00000000-0005-0000-0000-00001D000000}"/>
    <cellStyle name="_12월철근목수노무비명세서_6월기성청구-세아베스틸_7월기성자료-빌렛2차" xfId="31" xr:uid="{00000000-0005-0000-0000-00001E000000}"/>
    <cellStyle name="_12월철근목수노무비명세서_6월기성청구-세아베스틸_7월기성청구-요양원" xfId="32" xr:uid="{00000000-0005-0000-0000-00001F000000}"/>
    <cellStyle name="_12월철근목수노무비명세서_6월말공사자금청구서" xfId="33" xr:uid="{00000000-0005-0000-0000-000020000000}"/>
    <cellStyle name="_12월철근목수노무비명세서_7월기성자료-빌렛2차" xfId="34" xr:uid="{00000000-0005-0000-0000-000021000000}"/>
    <cellStyle name="_12월철근목수노무비명세서_월말공사자금청구서(4월)" xfId="35" xr:uid="{00000000-0005-0000-0000-000022000000}"/>
    <cellStyle name="_1일결산" xfId="36" xr:uid="{00000000-0005-0000-0000-000023000000}"/>
    <cellStyle name="_1일결산_10월직영출력현황-노무비집계표-후처리설비" xfId="37" xr:uid="{00000000-0005-0000-0000-000024000000}"/>
    <cellStyle name="_1일결산_1일결산(군장)" xfId="38" xr:uid="{00000000-0005-0000-0000-000025000000}"/>
    <cellStyle name="_1일결산_1일결산(군장)_10월직영출력현황-노무비집계표-후처리설비" xfId="39" xr:uid="{00000000-0005-0000-0000-000026000000}"/>
    <cellStyle name="_1일결산_1일결산(군장)_6월기성자료" xfId="40" xr:uid="{00000000-0005-0000-0000-000027000000}"/>
    <cellStyle name="_1일결산_1일결산(군장)_7월기성자료-빌렛2차" xfId="41" xr:uid="{00000000-0005-0000-0000-000028000000}"/>
    <cellStyle name="_1일결산_1일결산(군장)-7월" xfId="42" xr:uid="{00000000-0005-0000-0000-000029000000}"/>
    <cellStyle name="_1일결산_1일결산(군장)-7월_10월직영출력현황-노무비집계표-후처리설비" xfId="43" xr:uid="{00000000-0005-0000-0000-00002A000000}"/>
    <cellStyle name="_1일결산_1일결산(군장)-7월_6월기성자료" xfId="44" xr:uid="{00000000-0005-0000-0000-00002B000000}"/>
    <cellStyle name="_1일결산_1일결산(군장)-7월_7월기성자료-빌렛2차" xfId="45" xr:uid="{00000000-0005-0000-0000-00002C000000}"/>
    <cellStyle name="_1일결산_6월기성자료" xfId="46" xr:uid="{00000000-0005-0000-0000-00002D000000}"/>
    <cellStyle name="_1일결산_7월기성자료-빌렛2차" xfId="47" xr:uid="{00000000-0005-0000-0000-00002E000000}"/>
    <cellStyle name="_2-0관사급총괄집계최종" xfId="48" xr:uid="{00000000-0005-0000-0000-00002F000000}"/>
    <cellStyle name="_5B38F100" xfId="49" xr:uid="{00000000-0005-0000-0000-000030000000}"/>
    <cellStyle name="_5월말공사자금청구서" xfId="50" xr:uid="{00000000-0005-0000-0000-000031000000}"/>
    <cellStyle name="_6월기성자료" xfId="51" xr:uid="{00000000-0005-0000-0000-000032000000}"/>
    <cellStyle name="_6월기성청구-세아베스틸" xfId="52" xr:uid="{00000000-0005-0000-0000-000033000000}"/>
    <cellStyle name="_6월기성청구-세아베스틸_10월직영출력현황-노무비집계표-후처리설비" xfId="53" xr:uid="{00000000-0005-0000-0000-000034000000}"/>
    <cellStyle name="_6월기성청구-세아베스틸_6월기성자료" xfId="54" xr:uid="{00000000-0005-0000-0000-000035000000}"/>
    <cellStyle name="_6월기성청구-세아베스틸_7월기성자료-빌렛2차" xfId="55" xr:uid="{00000000-0005-0000-0000-000036000000}"/>
    <cellStyle name="_6월기성청구-세아베스틸_7월기성청구-요양원" xfId="56" xr:uid="{00000000-0005-0000-0000-000037000000}"/>
    <cellStyle name="_6월말공사자금청구서" xfId="57" xr:uid="{00000000-0005-0000-0000-000038000000}"/>
    <cellStyle name="_6월말공사자금청구서(1)" xfId="58" xr:uid="{00000000-0005-0000-0000-000039000000}"/>
    <cellStyle name="_7월기성자료-빌렛2차" xfId="59" xr:uid="{00000000-0005-0000-0000-00003A000000}"/>
    <cellStyle name="_8월말공사자금청구서(1)" xfId="60" xr:uid="{00000000-0005-0000-0000-00003B000000}"/>
    <cellStyle name="_Book1" xfId="61" xr:uid="{00000000-0005-0000-0000-00003C000000}"/>
    <cellStyle name="_견적서" xfId="62" xr:uid="{00000000-0005-0000-0000-00003D000000}"/>
    <cellStyle name="_견적서(광일)(1)" xfId="63" xr:uid="{00000000-0005-0000-0000-00003E000000}"/>
    <cellStyle name="_고산투찰" xfId="64" xr:uid="{00000000-0005-0000-0000-00003F000000}"/>
    <cellStyle name="_광릉투찰" xfId="65" xr:uid="{00000000-0005-0000-0000-000040000000}"/>
    <cellStyle name="_광릉투찰_10월직영출력현황-노무비집계표-후처리설비" xfId="66" xr:uid="{00000000-0005-0000-0000-000041000000}"/>
    <cellStyle name="_광릉투찰_12월철근목수노무비명세서" xfId="67" xr:uid="{00000000-0005-0000-0000-000042000000}"/>
    <cellStyle name="_광릉투찰_12월철근목수노무비명세서_02월 공사자금청구서(토목)" xfId="68" xr:uid="{00000000-0005-0000-0000-000043000000}"/>
    <cellStyle name="_광릉투찰_12월철근목수노무비명세서_10월직영출력현황-노무비집계표-후처리설비" xfId="69" xr:uid="{00000000-0005-0000-0000-000044000000}"/>
    <cellStyle name="_광릉투찰_12월철근목수노무비명세서_2005년05월철콘노임" xfId="70" xr:uid="{00000000-0005-0000-0000-000045000000}"/>
    <cellStyle name="_광릉투찰_12월철근목수노무비명세서_2005년05월철콘노임_02월 공사자금청구서(토목)" xfId="71" xr:uid="{00000000-0005-0000-0000-000046000000}"/>
    <cellStyle name="_광릉투찰_12월철근목수노무비명세서_2005년05월철콘노임_10월직영출력현황-노무비집계표-후처리설비" xfId="72" xr:uid="{00000000-0005-0000-0000-000047000000}"/>
    <cellStyle name="_광릉투찰_12월철근목수노무비명세서_2005년05월철콘노임_6월기성자료" xfId="73" xr:uid="{00000000-0005-0000-0000-000048000000}"/>
    <cellStyle name="_광릉투찰_12월철근목수노무비명세서_2005년05월철콘노임_6월기성청구-세아베스틸" xfId="74" xr:uid="{00000000-0005-0000-0000-000049000000}"/>
    <cellStyle name="_광릉투찰_12월철근목수노무비명세서_2005년05월철콘노임_6월기성청구-세아베스틸_10월직영출력현황-노무비집계표-후처리설비" xfId="75" xr:uid="{00000000-0005-0000-0000-00004A000000}"/>
    <cellStyle name="_광릉투찰_12월철근목수노무비명세서_2005년05월철콘노임_6월기성청구-세아베스틸_6월기성자료" xfId="76" xr:uid="{00000000-0005-0000-0000-00004B000000}"/>
    <cellStyle name="_광릉투찰_12월철근목수노무비명세서_2005년05월철콘노임_6월기성청구-세아베스틸_7월기성자료-빌렛2차" xfId="77" xr:uid="{00000000-0005-0000-0000-00004C000000}"/>
    <cellStyle name="_광릉투찰_12월철근목수노무비명세서_2005년05월철콘노임_6월기성청구-세아베스틸_7월기성청구-요양원" xfId="78" xr:uid="{00000000-0005-0000-0000-00004D000000}"/>
    <cellStyle name="_광릉투찰_12월철근목수노무비명세서_2005년05월철콘노임_6월말공사자금청구서" xfId="79" xr:uid="{00000000-0005-0000-0000-00004E000000}"/>
    <cellStyle name="_광릉투찰_12월철근목수노무비명세서_2005년05월철콘노임_7월기성자료-빌렛2차" xfId="80" xr:uid="{00000000-0005-0000-0000-00004F000000}"/>
    <cellStyle name="_광릉투찰_12월철근목수노무비명세서_2005년05월철콘노임_월말공사자금청구서(4월)" xfId="81" xr:uid="{00000000-0005-0000-0000-000050000000}"/>
    <cellStyle name="_광릉투찰_12월철근목수노무비명세서_6월기성자료" xfId="82" xr:uid="{00000000-0005-0000-0000-000051000000}"/>
    <cellStyle name="_광릉투찰_12월철근목수노무비명세서_6월기성청구-세아베스틸" xfId="83" xr:uid="{00000000-0005-0000-0000-000052000000}"/>
    <cellStyle name="_광릉투찰_12월철근목수노무비명세서_6월기성청구-세아베스틸_10월직영출력현황-노무비집계표-후처리설비" xfId="84" xr:uid="{00000000-0005-0000-0000-000053000000}"/>
    <cellStyle name="_광릉투찰_12월철근목수노무비명세서_6월기성청구-세아베스틸_6월기성자료" xfId="85" xr:uid="{00000000-0005-0000-0000-000054000000}"/>
    <cellStyle name="_광릉투찰_12월철근목수노무비명세서_6월기성청구-세아베스틸_7월기성자료-빌렛2차" xfId="86" xr:uid="{00000000-0005-0000-0000-000055000000}"/>
    <cellStyle name="_광릉투찰_12월철근목수노무비명세서_6월기성청구-세아베스틸_7월기성청구-요양원" xfId="87" xr:uid="{00000000-0005-0000-0000-000056000000}"/>
    <cellStyle name="_광릉투찰_12월철근목수노무비명세서_6월말공사자금청구서" xfId="88" xr:uid="{00000000-0005-0000-0000-000057000000}"/>
    <cellStyle name="_광릉투찰_12월철근목수노무비명세서_7월기성자료-빌렛2차" xfId="89" xr:uid="{00000000-0005-0000-0000-000058000000}"/>
    <cellStyle name="_광릉투찰_12월철근목수노무비명세서_월말공사자금청구서(4월)" xfId="90" xr:uid="{00000000-0005-0000-0000-000059000000}"/>
    <cellStyle name="_광릉투찰_1일결산" xfId="91" xr:uid="{00000000-0005-0000-0000-00005A000000}"/>
    <cellStyle name="_광릉투찰_1일결산_10월직영출력현황-노무비집계표-후처리설비" xfId="92" xr:uid="{00000000-0005-0000-0000-00005B000000}"/>
    <cellStyle name="_광릉투찰_1일결산_1일결산(군장)" xfId="93" xr:uid="{00000000-0005-0000-0000-00005C000000}"/>
    <cellStyle name="_광릉투찰_1일결산_1일결산(군장)_10월직영출력현황-노무비집계표-후처리설비" xfId="94" xr:uid="{00000000-0005-0000-0000-00005D000000}"/>
    <cellStyle name="_광릉투찰_1일결산_1일결산(군장)_6월기성자료" xfId="95" xr:uid="{00000000-0005-0000-0000-00005E000000}"/>
    <cellStyle name="_광릉투찰_1일결산_1일결산(군장)_7월기성자료-빌렛2차" xfId="96" xr:uid="{00000000-0005-0000-0000-00005F000000}"/>
    <cellStyle name="_광릉투찰_1일결산_1일결산(군장)-7월" xfId="97" xr:uid="{00000000-0005-0000-0000-000060000000}"/>
    <cellStyle name="_광릉투찰_1일결산_1일결산(군장)-7월_10월직영출력현황-노무비집계표-후처리설비" xfId="98" xr:uid="{00000000-0005-0000-0000-000061000000}"/>
    <cellStyle name="_광릉투찰_1일결산_1일결산(군장)-7월_6월기성자료" xfId="99" xr:uid="{00000000-0005-0000-0000-000062000000}"/>
    <cellStyle name="_광릉투찰_1일결산_1일결산(군장)-7월_7월기성자료-빌렛2차" xfId="100" xr:uid="{00000000-0005-0000-0000-000063000000}"/>
    <cellStyle name="_광릉투찰_1일결산_6월기성자료" xfId="101" xr:uid="{00000000-0005-0000-0000-000064000000}"/>
    <cellStyle name="_광릉투찰_1일결산_7월기성자료-빌렛2차" xfId="102" xr:uid="{00000000-0005-0000-0000-000065000000}"/>
    <cellStyle name="_광릉투찰_5B38F100" xfId="103" xr:uid="{00000000-0005-0000-0000-000066000000}"/>
    <cellStyle name="_광릉투찰_5월말공사자금청구서" xfId="104" xr:uid="{00000000-0005-0000-0000-000067000000}"/>
    <cellStyle name="_광릉투찰_6월기성자료" xfId="105" xr:uid="{00000000-0005-0000-0000-000068000000}"/>
    <cellStyle name="_광릉투찰_6월기성청구-세아베스틸" xfId="106" xr:uid="{00000000-0005-0000-0000-000069000000}"/>
    <cellStyle name="_광릉투찰_6월기성청구-세아베스틸_10월직영출력현황-노무비집계표-후처리설비" xfId="107" xr:uid="{00000000-0005-0000-0000-00006A000000}"/>
    <cellStyle name="_광릉투찰_6월기성청구-세아베스틸_6월기성자료" xfId="108" xr:uid="{00000000-0005-0000-0000-00006B000000}"/>
    <cellStyle name="_광릉투찰_6월기성청구-세아베스틸_7월기성자료-빌렛2차" xfId="109" xr:uid="{00000000-0005-0000-0000-00006C000000}"/>
    <cellStyle name="_광릉투찰_6월기성청구-세아베스틸_7월기성청구-요양원" xfId="110" xr:uid="{00000000-0005-0000-0000-00006D000000}"/>
    <cellStyle name="_광릉투찰_6월말공사자금청구서" xfId="111" xr:uid="{00000000-0005-0000-0000-00006E000000}"/>
    <cellStyle name="_광릉투찰_6월말공사자금청구서(1)" xfId="112" xr:uid="{00000000-0005-0000-0000-00006F000000}"/>
    <cellStyle name="_광릉투찰_7월기성자료-빌렛2차" xfId="113" xr:uid="{00000000-0005-0000-0000-000070000000}"/>
    <cellStyle name="_광릉투찰_8월말공사자금청구서(1)" xfId="114" xr:uid="{00000000-0005-0000-0000-000071000000}"/>
    <cellStyle name="_광릉투찰_Book1" xfId="115" xr:uid="{00000000-0005-0000-0000-000072000000}"/>
    <cellStyle name="_광릉투찰_기성내역총괄표(7월)" xfId="116" xr:uid="{00000000-0005-0000-0000-000073000000}"/>
    <cellStyle name="_광릉투찰_기성내역총괄표(견본-1)" xfId="117" xr:uid="{00000000-0005-0000-0000-000074000000}"/>
    <cellStyle name="_광릉투찰_기성내역총괄표(견본-1)_02월 공사자금청구서(토목)" xfId="118" xr:uid="{00000000-0005-0000-0000-000075000000}"/>
    <cellStyle name="_광릉투찰_기성내역총괄표(견본-1)_6월말공사자금청구서" xfId="119" xr:uid="{00000000-0005-0000-0000-000076000000}"/>
    <cellStyle name="_광릉투찰_세아베스틸-2월자금청구서" xfId="120" xr:uid="{00000000-0005-0000-0000-000077000000}"/>
    <cellStyle name="_광릉투찰_실행예산총괄표" xfId="121" xr:uid="{00000000-0005-0000-0000-000078000000}"/>
    <cellStyle name="_광릉투찰_실행예산총괄표_02월 공사자금청구서(토목)" xfId="122" xr:uid="{00000000-0005-0000-0000-000079000000}"/>
    <cellStyle name="_광릉투찰_실행예산총괄표_6월말공사자금청구서" xfId="123" xr:uid="{00000000-0005-0000-0000-00007A000000}"/>
    <cellStyle name="_광릉투찰_월기성갑지" xfId="124" xr:uid="{00000000-0005-0000-0000-00007B000000}"/>
    <cellStyle name="_광릉투찰_월기성갑지_05년기성10월" xfId="125" xr:uid="{00000000-0005-0000-0000-00007C000000}"/>
    <cellStyle name="_광릉투찰_월기성갑지_05년기성10월_5월말공사자금청구서" xfId="126" xr:uid="{00000000-0005-0000-0000-00007D000000}"/>
    <cellStyle name="_광릉투찰_월기성갑지_05년기성10월_6월말공사자금청구서(1)" xfId="127" xr:uid="{00000000-0005-0000-0000-00007E000000}"/>
    <cellStyle name="_광릉투찰_월기성갑지_05년기성10월_8월말공사자금청구서(1)" xfId="128" xr:uid="{00000000-0005-0000-0000-00007F000000}"/>
    <cellStyle name="_광릉투찰_월기성갑지_05년기성10월_Book1" xfId="129" xr:uid="{00000000-0005-0000-0000-000080000000}"/>
    <cellStyle name="_광릉투찰_월기성갑지_05년기성10월_세아베스틸-2월자금청구서" xfId="130" xr:uid="{00000000-0005-0000-0000-000081000000}"/>
    <cellStyle name="_광릉투찰_월기성갑지_06년기성01월" xfId="131" xr:uid="{00000000-0005-0000-0000-000082000000}"/>
    <cellStyle name="_광릉투찰_월기성갑지_06년기성01월_5월말공사자금청구서" xfId="132" xr:uid="{00000000-0005-0000-0000-000083000000}"/>
    <cellStyle name="_광릉투찰_월기성갑지_06년기성01월_6월말공사자금청구서(1)" xfId="133" xr:uid="{00000000-0005-0000-0000-000084000000}"/>
    <cellStyle name="_광릉투찰_월기성갑지_06년기성01월_8월말공사자금청구서(1)" xfId="134" xr:uid="{00000000-0005-0000-0000-000085000000}"/>
    <cellStyle name="_광릉투찰_월기성갑지_06년기성01월_Book1" xfId="135" xr:uid="{00000000-0005-0000-0000-000086000000}"/>
    <cellStyle name="_광릉투찰_월기성갑지_06년기성01월_세아베스틸-2월자금청구서" xfId="136" xr:uid="{00000000-0005-0000-0000-000087000000}"/>
    <cellStyle name="_광릉투찰_월기성갑지_5월말공사자금청구서" xfId="137" xr:uid="{00000000-0005-0000-0000-000088000000}"/>
    <cellStyle name="_광릉투찰_월기성갑지_6월말공사자금청구서(1)" xfId="138" xr:uid="{00000000-0005-0000-0000-000089000000}"/>
    <cellStyle name="_광릉투찰_월기성갑지_8월말공사자금청구서(1)" xfId="139" xr:uid="{00000000-0005-0000-0000-00008A000000}"/>
    <cellStyle name="_광릉투찰_월기성갑지_Book1" xfId="140" xr:uid="{00000000-0005-0000-0000-00008B000000}"/>
    <cellStyle name="_광릉투찰_월기성갑지_가온전선-06년기성06월" xfId="141" xr:uid="{00000000-0005-0000-0000-00008C000000}"/>
    <cellStyle name="_광릉투찰_월기성갑지_가온전선-06년기성06월_5월말공사자금청구서" xfId="142" xr:uid="{00000000-0005-0000-0000-00008D000000}"/>
    <cellStyle name="_광릉투찰_월기성갑지_가온전선-06년기성06월_6월말공사자금청구서(1)" xfId="143" xr:uid="{00000000-0005-0000-0000-00008E000000}"/>
    <cellStyle name="_광릉투찰_월기성갑지_가온전선-06년기성06월_8월말공사자금청구서(1)" xfId="144" xr:uid="{00000000-0005-0000-0000-00008F000000}"/>
    <cellStyle name="_광릉투찰_월기성갑지_가온전선-06년기성06월_Book1" xfId="145" xr:uid="{00000000-0005-0000-0000-000090000000}"/>
    <cellStyle name="_광릉투찰_월기성갑지_가온전선-06년기성06월_세아베스틸-2월자금청구서" xfId="146" xr:uid="{00000000-0005-0000-0000-000091000000}"/>
    <cellStyle name="_광릉투찰_월기성갑지_김제 상수도 기성" xfId="147" xr:uid="{00000000-0005-0000-0000-000092000000}"/>
    <cellStyle name="_광릉투찰_월기성갑지_김제 상수도 기성_5월말공사자금청구서" xfId="148" xr:uid="{00000000-0005-0000-0000-000093000000}"/>
    <cellStyle name="_광릉투찰_월기성갑지_김제 상수도 기성_6월말공사자금청구서(1)" xfId="149" xr:uid="{00000000-0005-0000-0000-000094000000}"/>
    <cellStyle name="_광릉투찰_월기성갑지_김제 상수도 기성_8월말공사자금청구서(1)" xfId="150" xr:uid="{00000000-0005-0000-0000-000095000000}"/>
    <cellStyle name="_광릉투찰_월기성갑지_김제 상수도 기성_Book1" xfId="151" xr:uid="{00000000-0005-0000-0000-000096000000}"/>
    <cellStyle name="_광릉투찰_월기성갑지_김제 상수도 기성_세아베스틸-2월자금청구서" xfId="152" xr:uid="{00000000-0005-0000-0000-000097000000}"/>
    <cellStyle name="_광릉투찰_월기성갑지_상수도 기성11월" xfId="153" xr:uid="{00000000-0005-0000-0000-000098000000}"/>
    <cellStyle name="_광릉투찰_월기성갑지_상수도 기성11월_5월말공사자금청구서" xfId="154" xr:uid="{00000000-0005-0000-0000-000099000000}"/>
    <cellStyle name="_광릉투찰_월기성갑지_상수도 기성11월_6월말공사자금청구서(1)" xfId="155" xr:uid="{00000000-0005-0000-0000-00009A000000}"/>
    <cellStyle name="_광릉투찰_월기성갑지_상수도 기성11월_8월말공사자금청구서(1)" xfId="156" xr:uid="{00000000-0005-0000-0000-00009B000000}"/>
    <cellStyle name="_광릉투찰_월기성갑지_상수도 기성11월_Book1" xfId="157" xr:uid="{00000000-0005-0000-0000-00009C000000}"/>
    <cellStyle name="_광릉투찰_월기성갑지_상수도 기성11월_세아베스틸-2월자금청구서" xfId="158" xr:uid="{00000000-0005-0000-0000-00009D000000}"/>
    <cellStyle name="_광릉투찰_월기성갑지_석방육교기성갑지" xfId="159" xr:uid="{00000000-0005-0000-0000-00009E000000}"/>
    <cellStyle name="_광릉투찰_월기성갑지_석방육교기성갑지_5월말공사자금청구서" xfId="160" xr:uid="{00000000-0005-0000-0000-00009F000000}"/>
    <cellStyle name="_광릉투찰_월기성갑지_석방육교기성갑지_6월말공사자금청구서(1)" xfId="161" xr:uid="{00000000-0005-0000-0000-0000A0000000}"/>
    <cellStyle name="_광릉투찰_월기성갑지_석방육교기성갑지_8월말공사자금청구서(1)" xfId="162" xr:uid="{00000000-0005-0000-0000-0000A1000000}"/>
    <cellStyle name="_광릉투찰_월기성갑지_석방육교기성갑지_Book1" xfId="163" xr:uid="{00000000-0005-0000-0000-0000A2000000}"/>
    <cellStyle name="_광릉투찰_월기성갑지_석방육교기성갑지_세아베스틸-2월자금청구서" xfId="164" xr:uid="{00000000-0005-0000-0000-0000A3000000}"/>
    <cellStyle name="_광릉투찰_월기성갑지_세아베스틸-2월자금청구서" xfId="165" xr:uid="{00000000-0005-0000-0000-0000A4000000}"/>
    <cellStyle name="_광릉투찰_월말공사자금청구서(4월)" xfId="166" xr:uid="{00000000-0005-0000-0000-0000A5000000}"/>
    <cellStyle name="_광릉투찰_월말공사자금청구서(4월)_02월 공사자금청구서(토목)" xfId="167" xr:uid="{00000000-0005-0000-0000-0000A6000000}"/>
    <cellStyle name="_구문소철암투찰" xfId="168" xr:uid="{00000000-0005-0000-0000-0000A7000000}"/>
    <cellStyle name="_구문소철암투찰_10월직영출력현황-노무비집계표-후처리설비" xfId="169" xr:uid="{00000000-0005-0000-0000-0000A8000000}"/>
    <cellStyle name="_구문소철암투찰_12월철근목수노무비명세서" xfId="170" xr:uid="{00000000-0005-0000-0000-0000A9000000}"/>
    <cellStyle name="_구문소철암투찰_12월철근목수노무비명세서_02월 공사자금청구서(토목)" xfId="171" xr:uid="{00000000-0005-0000-0000-0000AA000000}"/>
    <cellStyle name="_구문소철암투찰_12월철근목수노무비명세서_10월직영출력현황-노무비집계표-후처리설비" xfId="172" xr:uid="{00000000-0005-0000-0000-0000AB000000}"/>
    <cellStyle name="_구문소철암투찰_12월철근목수노무비명세서_2005년05월철콘노임" xfId="173" xr:uid="{00000000-0005-0000-0000-0000AC000000}"/>
    <cellStyle name="_구문소철암투찰_12월철근목수노무비명세서_2005년05월철콘노임_02월 공사자금청구서(토목)" xfId="174" xr:uid="{00000000-0005-0000-0000-0000AD000000}"/>
    <cellStyle name="_구문소철암투찰_12월철근목수노무비명세서_2005년05월철콘노임_10월직영출력현황-노무비집계표-후처리설비" xfId="175" xr:uid="{00000000-0005-0000-0000-0000AE000000}"/>
    <cellStyle name="_구문소철암투찰_12월철근목수노무비명세서_2005년05월철콘노임_6월기성자료" xfId="176" xr:uid="{00000000-0005-0000-0000-0000AF000000}"/>
    <cellStyle name="_구문소철암투찰_12월철근목수노무비명세서_2005년05월철콘노임_6월기성청구-세아베스틸" xfId="177" xr:uid="{00000000-0005-0000-0000-0000B0000000}"/>
    <cellStyle name="_구문소철암투찰_12월철근목수노무비명세서_2005년05월철콘노임_6월기성청구-세아베스틸_10월직영출력현황-노무비집계표-후처리설비" xfId="178" xr:uid="{00000000-0005-0000-0000-0000B1000000}"/>
    <cellStyle name="_구문소철암투찰_12월철근목수노무비명세서_2005년05월철콘노임_6월기성청구-세아베스틸_6월기성자료" xfId="179" xr:uid="{00000000-0005-0000-0000-0000B2000000}"/>
    <cellStyle name="_구문소철암투찰_12월철근목수노무비명세서_2005년05월철콘노임_6월기성청구-세아베스틸_7월기성자료-빌렛2차" xfId="180" xr:uid="{00000000-0005-0000-0000-0000B3000000}"/>
    <cellStyle name="_구문소철암투찰_12월철근목수노무비명세서_2005년05월철콘노임_6월기성청구-세아베스틸_7월기성청구-요양원" xfId="181" xr:uid="{00000000-0005-0000-0000-0000B4000000}"/>
    <cellStyle name="_구문소철암투찰_12월철근목수노무비명세서_2005년05월철콘노임_6월말공사자금청구서" xfId="182" xr:uid="{00000000-0005-0000-0000-0000B5000000}"/>
    <cellStyle name="_구문소철암투찰_12월철근목수노무비명세서_2005년05월철콘노임_7월기성자료-빌렛2차" xfId="183" xr:uid="{00000000-0005-0000-0000-0000B6000000}"/>
    <cellStyle name="_구문소철암투찰_12월철근목수노무비명세서_2005년05월철콘노임_월말공사자금청구서(4월)" xfId="184" xr:uid="{00000000-0005-0000-0000-0000B7000000}"/>
    <cellStyle name="_구문소철암투찰_12월철근목수노무비명세서_6월기성자료" xfId="185" xr:uid="{00000000-0005-0000-0000-0000B8000000}"/>
    <cellStyle name="_구문소철암투찰_12월철근목수노무비명세서_6월기성청구-세아베스틸" xfId="186" xr:uid="{00000000-0005-0000-0000-0000B9000000}"/>
    <cellStyle name="_구문소철암투찰_12월철근목수노무비명세서_6월기성청구-세아베스틸_10월직영출력현황-노무비집계표-후처리설비" xfId="187" xr:uid="{00000000-0005-0000-0000-0000BA000000}"/>
    <cellStyle name="_구문소철암투찰_12월철근목수노무비명세서_6월기성청구-세아베스틸_6월기성자료" xfId="188" xr:uid="{00000000-0005-0000-0000-0000BB000000}"/>
    <cellStyle name="_구문소철암투찰_12월철근목수노무비명세서_6월기성청구-세아베스틸_7월기성자료-빌렛2차" xfId="189" xr:uid="{00000000-0005-0000-0000-0000BC000000}"/>
    <cellStyle name="_구문소철암투찰_12월철근목수노무비명세서_6월기성청구-세아베스틸_7월기성청구-요양원" xfId="190" xr:uid="{00000000-0005-0000-0000-0000BD000000}"/>
    <cellStyle name="_구문소철암투찰_12월철근목수노무비명세서_6월말공사자금청구서" xfId="191" xr:uid="{00000000-0005-0000-0000-0000BE000000}"/>
    <cellStyle name="_구문소철암투찰_12월철근목수노무비명세서_7월기성자료-빌렛2차" xfId="192" xr:uid="{00000000-0005-0000-0000-0000BF000000}"/>
    <cellStyle name="_구문소철암투찰_12월철근목수노무비명세서_월말공사자금청구서(4월)" xfId="193" xr:uid="{00000000-0005-0000-0000-0000C0000000}"/>
    <cellStyle name="_구문소철암투찰_1일결산" xfId="194" xr:uid="{00000000-0005-0000-0000-0000C1000000}"/>
    <cellStyle name="_구문소철암투찰_1일결산_10월직영출력현황-노무비집계표-후처리설비" xfId="195" xr:uid="{00000000-0005-0000-0000-0000C2000000}"/>
    <cellStyle name="_구문소철암투찰_1일결산_1일결산(군장)" xfId="196" xr:uid="{00000000-0005-0000-0000-0000C3000000}"/>
    <cellStyle name="_구문소철암투찰_1일결산_1일결산(군장)_10월직영출력현황-노무비집계표-후처리설비" xfId="197" xr:uid="{00000000-0005-0000-0000-0000C4000000}"/>
    <cellStyle name="_구문소철암투찰_1일결산_1일결산(군장)_6월기성자료" xfId="198" xr:uid="{00000000-0005-0000-0000-0000C5000000}"/>
    <cellStyle name="_구문소철암투찰_1일결산_1일결산(군장)_7월기성자료-빌렛2차" xfId="199" xr:uid="{00000000-0005-0000-0000-0000C6000000}"/>
    <cellStyle name="_구문소철암투찰_1일결산_1일결산(군장)-7월" xfId="200" xr:uid="{00000000-0005-0000-0000-0000C7000000}"/>
    <cellStyle name="_구문소철암투찰_1일결산_1일결산(군장)-7월_10월직영출력현황-노무비집계표-후처리설비" xfId="201" xr:uid="{00000000-0005-0000-0000-0000C8000000}"/>
    <cellStyle name="_구문소철암투찰_1일결산_1일결산(군장)-7월_6월기성자료" xfId="202" xr:uid="{00000000-0005-0000-0000-0000C9000000}"/>
    <cellStyle name="_구문소철암투찰_1일결산_1일결산(군장)-7월_7월기성자료-빌렛2차" xfId="203" xr:uid="{00000000-0005-0000-0000-0000CA000000}"/>
    <cellStyle name="_구문소철암투찰_1일결산_6월기성자료" xfId="204" xr:uid="{00000000-0005-0000-0000-0000CB000000}"/>
    <cellStyle name="_구문소철암투찰_1일결산_7월기성자료-빌렛2차" xfId="205" xr:uid="{00000000-0005-0000-0000-0000CC000000}"/>
    <cellStyle name="_구문소철암투찰_5B38F100" xfId="206" xr:uid="{00000000-0005-0000-0000-0000CD000000}"/>
    <cellStyle name="_구문소철암투찰_5월말공사자금청구서" xfId="207" xr:uid="{00000000-0005-0000-0000-0000CE000000}"/>
    <cellStyle name="_구문소철암투찰_6월기성자료" xfId="208" xr:uid="{00000000-0005-0000-0000-0000CF000000}"/>
    <cellStyle name="_구문소철암투찰_6월기성청구-세아베스틸" xfId="209" xr:uid="{00000000-0005-0000-0000-0000D0000000}"/>
    <cellStyle name="_구문소철암투찰_6월기성청구-세아베스틸_10월직영출력현황-노무비집계표-후처리설비" xfId="210" xr:uid="{00000000-0005-0000-0000-0000D1000000}"/>
    <cellStyle name="_구문소철암투찰_6월기성청구-세아베스틸_6월기성자료" xfId="211" xr:uid="{00000000-0005-0000-0000-0000D2000000}"/>
    <cellStyle name="_구문소철암투찰_6월기성청구-세아베스틸_7월기성자료-빌렛2차" xfId="212" xr:uid="{00000000-0005-0000-0000-0000D3000000}"/>
    <cellStyle name="_구문소철암투찰_6월기성청구-세아베스틸_7월기성청구-요양원" xfId="213" xr:uid="{00000000-0005-0000-0000-0000D4000000}"/>
    <cellStyle name="_구문소철암투찰_6월말공사자금청구서" xfId="214" xr:uid="{00000000-0005-0000-0000-0000D5000000}"/>
    <cellStyle name="_구문소철암투찰_6월말공사자금청구서(1)" xfId="215" xr:uid="{00000000-0005-0000-0000-0000D6000000}"/>
    <cellStyle name="_구문소철암투찰_7월기성자료-빌렛2차" xfId="216" xr:uid="{00000000-0005-0000-0000-0000D7000000}"/>
    <cellStyle name="_구문소철암투찰_8월말공사자금청구서(1)" xfId="217" xr:uid="{00000000-0005-0000-0000-0000D8000000}"/>
    <cellStyle name="_구문소철암투찰_Book1" xfId="218" xr:uid="{00000000-0005-0000-0000-0000D9000000}"/>
    <cellStyle name="_구문소철암투찰_광릉투찰" xfId="219" xr:uid="{00000000-0005-0000-0000-0000DA000000}"/>
    <cellStyle name="_구문소철암투찰_광릉투찰_10월직영출력현황-노무비집계표-후처리설비" xfId="220" xr:uid="{00000000-0005-0000-0000-0000DB000000}"/>
    <cellStyle name="_구문소철암투찰_광릉투찰_12월철근목수노무비명세서" xfId="221" xr:uid="{00000000-0005-0000-0000-0000DC000000}"/>
    <cellStyle name="_구문소철암투찰_광릉투찰_12월철근목수노무비명세서_02월 공사자금청구서(토목)" xfId="222" xr:uid="{00000000-0005-0000-0000-0000DD000000}"/>
    <cellStyle name="_구문소철암투찰_광릉투찰_12월철근목수노무비명세서_10월직영출력현황-노무비집계표-후처리설비" xfId="223" xr:uid="{00000000-0005-0000-0000-0000DE000000}"/>
    <cellStyle name="_구문소철암투찰_광릉투찰_12월철근목수노무비명세서_2005년05월철콘노임" xfId="224" xr:uid="{00000000-0005-0000-0000-0000DF000000}"/>
    <cellStyle name="_구문소철암투찰_광릉투찰_12월철근목수노무비명세서_2005년05월철콘노임_02월 공사자금청구서(토목)" xfId="225" xr:uid="{00000000-0005-0000-0000-0000E0000000}"/>
    <cellStyle name="_구문소철암투찰_광릉투찰_12월철근목수노무비명세서_2005년05월철콘노임_10월직영출력현황-노무비집계표-후처리설비" xfId="226" xr:uid="{00000000-0005-0000-0000-0000E1000000}"/>
    <cellStyle name="_구문소철암투찰_광릉투찰_12월철근목수노무비명세서_2005년05월철콘노임_6월기성자료" xfId="227" xr:uid="{00000000-0005-0000-0000-0000E2000000}"/>
    <cellStyle name="_구문소철암투찰_광릉투찰_12월철근목수노무비명세서_2005년05월철콘노임_6월기성청구-세아베스틸" xfId="228" xr:uid="{00000000-0005-0000-0000-0000E3000000}"/>
    <cellStyle name="_구문소철암투찰_광릉투찰_12월철근목수노무비명세서_2005년05월철콘노임_6월기성청구-세아베스틸_10월직영출력현황-노무비집계표-후처리설비" xfId="229" xr:uid="{00000000-0005-0000-0000-0000E4000000}"/>
    <cellStyle name="_구문소철암투찰_광릉투찰_12월철근목수노무비명세서_2005년05월철콘노임_6월기성청구-세아베스틸_6월기성자료" xfId="230" xr:uid="{00000000-0005-0000-0000-0000E5000000}"/>
    <cellStyle name="_구문소철암투찰_광릉투찰_12월철근목수노무비명세서_2005년05월철콘노임_6월기성청구-세아베스틸_7월기성자료-빌렛2차" xfId="231" xr:uid="{00000000-0005-0000-0000-0000E6000000}"/>
    <cellStyle name="_구문소철암투찰_광릉투찰_12월철근목수노무비명세서_2005년05월철콘노임_6월기성청구-세아베스틸_7월기성청구-요양원" xfId="232" xr:uid="{00000000-0005-0000-0000-0000E7000000}"/>
    <cellStyle name="_구문소철암투찰_광릉투찰_12월철근목수노무비명세서_2005년05월철콘노임_6월말공사자금청구서" xfId="233" xr:uid="{00000000-0005-0000-0000-0000E8000000}"/>
    <cellStyle name="_구문소철암투찰_광릉투찰_12월철근목수노무비명세서_2005년05월철콘노임_7월기성자료-빌렛2차" xfId="234" xr:uid="{00000000-0005-0000-0000-0000E9000000}"/>
    <cellStyle name="_구문소철암투찰_광릉투찰_12월철근목수노무비명세서_2005년05월철콘노임_월말공사자금청구서(4월)" xfId="235" xr:uid="{00000000-0005-0000-0000-0000EA000000}"/>
    <cellStyle name="_구문소철암투찰_광릉투찰_12월철근목수노무비명세서_6월기성자료" xfId="236" xr:uid="{00000000-0005-0000-0000-0000EB000000}"/>
    <cellStyle name="_구문소철암투찰_광릉투찰_12월철근목수노무비명세서_6월기성청구-세아베스틸" xfId="237" xr:uid="{00000000-0005-0000-0000-0000EC000000}"/>
    <cellStyle name="_구문소철암투찰_광릉투찰_12월철근목수노무비명세서_6월기성청구-세아베스틸_10월직영출력현황-노무비집계표-후처리설비" xfId="238" xr:uid="{00000000-0005-0000-0000-0000ED000000}"/>
    <cellStyle name="_구문소철암투찰_광릉투찰_12월철근목수노무비명세서_6월기성청구-세아베스틸_6월기성자료" xfId="239" xr:uid="{00000000-0005-0000-0000-0000EE000000}"/>
    <cellStyle name="_구문소철암투찰_광릉투찰_12월철근목수노무비명세서_6월기성청구-세아베스틸_7월기성자료-빌렛2차" xfId="240" xr:uid="{00000000-0005-0000-0000-0000EF000000}"/>
    <cellStyle name="_구문소철암투찰_광릉투찰_12월철근목수노무비명세서_6월기성청구-세아베스틸_7월기성청구-요양원" xfId="241" xr:uid="{00000000-0005-0000-0000-0000F0000000}"/>
    <cellStyle name="_구문소철암투찰_광릉투찰_12월철근목수노무비명세서_6월말공사자금청구서" xfId="242" xr:uid="{00000000-0005-0000-0000-0000F1000000}"/>
    <cellStyle name="_구문소철암투찰_광릉투찰_12월철근목수노무비명세서_7월기성자료-빌렛2차" xfId="243" xr:uid="{00000000-0005-0000-0000-0000F2000000}"/>
    <cellStyle name="_구문소철암투찰_광릉투찰_12월철근목수노무비명세서_월말공사자금청구서(4월)" xfId="244" xr:uid="{00000000-0005-0000-0000-0000F3000000}"/>
    <cellStyle name="_구문소철암투찰_광릉투찰_1일결산" xfId="245" xr:uid="{00000000-0005-0000-0000-0000F4000000}"/>
    <cellStyle name="_구문소철암투찰_광릉투찰_1일결산_10월직영출력현황-노무비집계표-후처리설비" xfId="246" xr:uid="{00000000-0005-0000-0000-0000F5000000}"/>
    <cellStyle name="_구문소철암투찰_광릉투찰_1일결산_1일결산(군장)" xfId="247" xr:uid="{00000000-0005-0000-0000-0000F6000000}"/>
    <cellStyle name="_구문소철암투찰_광릉투찰_1일결산_1일결산(군장)_10월직영출력현황-노무비집계표-후처리설비" xfId="248" xr:uid="{00000000-0005-0000-0000-0000F7000000}"/>
    <cellStyle name="_구문소철암투찰_광릉투찰_1일결산_1일결산(군장)_6월기성자료" xfId="249" xr:uid="{00000000-0005-0000-0000-0000F8000000}"/>
    <cellStyle name="_구문소철암투찰_광릉투찰_1일결산_1일결산(군장)_7월기성자료-빌렛2차" xfId="250" xr:uid="{00000000-0005-0000-0000-0000F9000000}"/>
    <cellStyle name="_구문소철암투찰_광릉투찰_1일결산_1일결산(군장)-7월" xfId="251" xr:uid="{00000000-0005-0000-0000-0000FA000000}"/>
    <cellStyle name="_구문소철암투찰_광릉투찰_1일결산_1일결산(군장)-7월_10월직영출력현황-노무비집계표-후처리설비" xfId="252" xr:uid="{00000000-0005-0000-0000-0000FB000000}"/>
    <cellStyle name="_구문소철암투찰_광릉투찰_1일결산_1일결산(군장)-7월_6월기성자료" xfId="253" xr:uid="{00000000-0005-0000-0000-0000FC000000}"/>
    <cellStyle name="_구문소철암투찰_광릉투찰_1일결산_1일결산(군장)-7월_7월기성자료-빌렛2차" xfId="254" xr:uid="{00000000-0005-0000-0000-0000FD000000}"/>
    <cellStyle name="_구문소철암투찰_광릉투찰_1일결산_6월기성자료" xfId="255" xr:uid="{00000000-0005-0000-0000-0000FE000000}"/>
    <cellStyle name="_구문소철암투찰_광릉투찰_1일결산_7월기성자료-빌렛2차" xfId="256" xr:uid="{00000000-0005-0000-0000-0000FF000000}"/>
    <cellStyle name="_구문소철암투찰_광릉투찰_5B38F100" xfId="257" xr:uid="{00000000-0005-0000-0000-000000010000}"/>
    <cellStyle name="_구문소철암투찰_광릉투찰_5월말공사자금청구서" xfId="258" xr:uid="{00000000-0005-0000-0000-000001010000}"/>
    <cellStyle name="_구문소철암투찰_광릉투찰_6월기성자료" xfId="259" xr:uid="{00000000-0005-0000-0000-000002010000}"/>
    <cellStyle name="_구문소철암투찰_광릉투찰_6월기성청구-세아베스틸" xfId="260" xr:uid="{00000000-0005-0000-0000-000003010000}"/>
    <cellStyle name="_구문소철암투찰_광릉투찰_6월기성청구-세아베스틸_10월직영출력현황-노무비집계표-후처리설비" xfId="261" xr:uid="{00000000-0005-0000-0000-000004010000}"/>
    <cellStyle name="_구문소철암투찰_광릉투찰_6월기성청구-세아베스틸_6월기성자료" xfId="262" xr:uid="{00000000-0005-0000-0000-000005010000}"/>
    <cellStyle name="_구문소철암투찰_광릉투찰_6월기성청구-세아베스틸_7월기성자료-빌렛2차" xfId="263" xr:uid="{00000000-0005-0000-0000-000006010000}"/>
    <cellStyle name="_구문소철암투찰_광릉투찰_6월기성청구-세아베스틸_7월기성청구-요양원" xfId="264" xr:uid="{00000000-0005-0000-0000-000007010000}"/>
    <cellStyle name="_구문소철암투찰_광릉투찰_6월말공사자금청구서" xfId="265" xr:uid="{00000000-0005-0000-0000-000008010000}"/>
    <cellStyle name="_구문소철암투찰_광릉투찰_6월말공사자금청구서(1)" xfId="266" xr:uid="{00000000-0005-0000-0000-000009010000}"/>
    <cellStyle name="_구문소철암투찰_광릉투찰_7월기성자료-빌렛2차" xfId="267" xr:uid="{00000000-0005-0000-0000-00000A010000}"/>
    <cellStyle name="_구문소철암투찰_광릉투찰_8월말공사자금청구서(1)" xfId="268" xr:uid="{00000000-0005-0000-0000-00000B010000}"/>
    <cellStyle name="_구문소철암투찰_광릉투찰_Book1" xfId="269" xr:uid="{00000000-0005-0000-0000-00000C010000}"/>
    <cellStyle name="_구문소철암투찰_광릉투찰_기성내역총괄표(7월)" xfId="270" xr:uid="{00000000-0005-0000-0000-00000D010000}"/>
    <cellStyle name="_구문소철암투찰_광릉투찰_기성내역총괄표(견본-1)" xfId="271" xr:uid="{00000000-0005-0000-0000-00000E010000}"/>
    <cellStyle name="_구문소철암투찰_광릉투찰_기성내역총괄표(견본-1)_02월 공사자금청구서(토목)" xfId="272" xr:uid="{00000000-0005-0000-0000-00000F010000}"/>
    <cellStyle name="_구문소철암투찰_광릉투찰_기성내역총괄표(견본-1)_6월말공사자금청구서" xfId="273" xr:uid="{00000000-0005-0000-0000-000010010000}"/>
    <cellStyle name="_구문소철암투찰_광릉투찰_세아베스틸-2월자금청구서" xfId="274" xr:uid="{00000000-0005-0000-0000-000011010000}"/>
    <cellStyle name="_구문소철암투찰_광릉투찰_실행예산총괄표" xfId="275" xr:uid="{00000000-0005-0000-0000-000012010000}"/>
    <cellStyle name="_구문소철암투찰_광릉투찰_실행예산총괄표_02월 공사자금청구서(토목)" xfId="276" xr:uid="{00000000-0005-0000-0000-000013010000}"/>
    <cellStyle name="_구문소철암투찰_광릉투찰_실행예산총괄표_6월말공사자금청구서" xfId="277" xr:uid="{00000000-0005-0000-0000-000014010000}"/>
    <cellStyle name="_구문소철암투찰_광릉투찰_월기성갑지" xfId="278" xr:uid="{00000000-0005-0000-0000-000015010000}"/>
    <cellStyle name="_구문소철암투찰_광릉투찰_월기성갑지_05년기성10월" xfId="279" xr:uid="{00000000-0005-0000-0000-000016010000}"/>
    <cellStyle name="_구문소철암투찰_광릉투찰_월기성갑지_05년기성10월_5월말공사자금청구서" xfId="280" xr:uid="{00000000-0005-0000-0000-000017010000}"/>
    <cellStyle name="_구문소철암투찰_광릉투찰_월기성갑지_05년기성10월_6월말공사자금청구서(1)" xfId="281" xr:uid="{00000000-0005-0000-0000-000018010000}"/>
    <cellStyle name="_구문소철암투찰_광릉투찰_월기성갑지_05년기성10월_8월말공사자금청구서(1)" xfId="282" xr:uid="{00000000-0005-0000-0000-000019010000}"/>
    <cellStyle name="_구문소철암투찰_광릉투찰_월기성갑지_05년기성10월_Book1" xfId="283" xr:uid="{00000000-0005-0000-0000-00001A010000}"/>
    <cellStyle name="_구문소철암투찰_광릉투찰_월기성갑지_05년기성10월_세아베스틸-2월자금청구서" xfId="284" xr:uid="{00000000-0005-0000-0000-00001B010000}"/>
    <cellStyle name="_구문소철암투찰_광릉투찰_월기성갑지_06년기성01월" xfId="285" xr:uid="{00000000-0005-0000-0000-00001C010000}"/>
    <cellStyle name="_구문소철암투찰_광릉투찰_월기성갑지_06년기성01월_5월말공사자금청구서" xfId="286" xr:uid="{00000000-0005-0000-0000-00001D010000}"/>
    <cellStyle name="_구문소철암투찰_광릉투찰_월기성갑지_06년기성01월_6월말공사자금청구서(1)" xfId="287" xr:uid="{00000000-0005-0000-0000-00001E010000}"/>
    <cellStyle name="_구문소철암투찰_광릉투찰_월기성갑지_06년기성01월_8월말공사자금청구서(1)" xfId="288" xr:uid="{00000000-0005-0000-0000-00001F010000}"/>
    <cellStyle name="_구문소철암투찰_광릉투찰_월기성갑지_06년기성01월_Book1" xfId="289" xr:uid="{00000000-0005-0000-0000-000020010000}"/>
    <cellStyle name="_구문소철암투찰_광릉투찰_월기성갑지_06년기성01월_세아베스틸-2월자금청구서" xfId="290" xr:uid="{00000000-0005-0000-0000-000021010000}"/>
    <cellStyle name="_구문소철암투찰_광릉투찰_월기성갑지_5월말공사자금청구서" xfId="291" xr:uid="{00000000-0005-0000-0000-000022010000}"/>
    <cellStyle name="_구문소철암투찰_광릉투찰_월기성갑지_6월말공사자금청구서(1)" xfId="292" xr:uid="{00000000-0005-0000-0000-000023010000}"/>
    <cellStyle name="_구문소철암투찰_광릉투찰_월기성갑지_8월말공사자금청구서(1)" xfId="293" xr:uid="{00000000-0005-0000-0000-000024010000}"/>
    <cellStyle name="_구문소철암투찰_광릉투찰_월기성갑지_Book1" xfId="294" xr:uid="{00000000-0005-0000-0000-000025010000}"/>
    <cellStyle name="_구문소철암투찰_광릉투찰_월기성갑지_가온전선-06년기성06월" xfId="295" xr:uid="{00000000-0005-0000-0000-000026010000}"/>
    <cellStyle name="_구문소철암투찰_광릉투찰_월기성갑지_가온전선-06년기성06월_5월말공사자금청구서" xfId="296" xr:uid="{00000000-0005-0000-0000-000027010000}"/>
    <cellStyle name="_구문소철암투찰_광릉투찰_월기성갑지_가온전선-06년기성06월_6월말공사자금청구서(1)" xfId="297" xr:uid="{00000000-0005-0000-0000-000028010000}"/>
    <cellStyle name="_구문소철암투찰_광릉투찰_월기성갑지_가온전선-06년기성06월_8월말공사자금청구서(1)" xfId="298" xr:uid="{00000000-0005-0000-0000-000029010000}"/>
    <cellStyle name="_구문소철암투찰_광릉투찰_월기성갑지_가온전선-06년기성06월_Book1" xfId="299" xr:uid="{00000000-0005-0000-0000-00002A010000}"/>
    <cellStyle name="_구문소철암투찰_광릉투찰_월기성갑지_가온전선-06년기성06월_세아베스틸-2월자금청구서" xfId="300" xr:uid="{00000000-0005-0000-0000-00002B010000}"/>
    <cellStyle name="_구문소철암투찰_광릉투찰_월기성갑지_김제 상수도 기성" xfId="301" xr:uid="{00000000-0005-0000-0000-00002C010000}"/>
    <cellStyle name="_구문소철암투찰_광릉투찰_월기성갑지_김제 상수도 기성_5월말공사자금청구서" xfId="302" xr:uid="{00000000-0005-0000-0000-00002D010000}"/>
    <cellStyle name="_구문소철암투찰_광릉투찰_월기성갑지_김제 상수도 기성_6월말공사자금청구서(1)" xfId="303" xr:uid="{00000000-0005-0000-0000-00002E010000}"/>
    <cellStyle name="_구문소철암투찰_광릉투찰_월기성갑지_김제 상수도 기성_8월말공사자금청구서(1)" xfId="304" xr:uid="{00000000-0005-0000-0000-00002F010000}"/>
    <cellStyle name="_구문소철암투찰_광릉투찰_월기성갑지_김제 상수도 기성_Book1" xfId="305" xr:uid="{00000000-0005-0000-0000-000030010000}"/>
    <cellStyle name="_구문소철암투찰_광릉투찰_월기성갑지_김제 상수도 기성_세아베스틸-2월자금청구서" xfId="306" xr:uid="{00000000-0005-0000-0000-000031010000}"/>
    <cellStyle name="_구문소철암투찰_광릉투찰_월기성갑지_상수도 기성11월" xfId="307" xr:uid="{00000000-0005-0000-0000-000032010000}"/>
    <cellStyle name="_구문소철암투찰_광릉투찰_월기성갑지_상수도 기성11월_5월말공사자금청구서" xfId="308" xr:uid="{00000000-0005-0000-0000-000033010000}"/>
    <cellStyle name="_구문소철암투찰_광릉투찰_월기성갑지_상수도 기성11월_6월말공사자금청구서(1)" xfId="309" xr:uid="{00000000-0005-0000-0000-000034010000}"/>
    <cellStyle name="_구문소철암투찰_광릉투찰_월기성갑지_상수도 기성11월_8월말공사자금청구서(1)" xfId="310" xr:uid="{00000000-0005-0000-0000-000035010000}"/>
    <cellStyle name="_구문소철암투찰_광릉투찰_월기성갑지_상수도 기성11월_Book1" xfId="311" xr:uid="{00000000-0005-0000-0000-000036010000}"/>
    <cellStyle name="_구문소철암투찰_광릉투찰_월기성갑지_상수도 기성11월_세아베스틸-2월자금청구서" xfId="312" xr:uid="{00000000-0005-0000-0000-000037010000}"/>
    <cellStyle name="_구문소철암투찰_광릉투찰_월기성갑지_석방육교기성갑지" xfId="313" xr:uid="{00000000-0005-0000-0000-000038010000}"/>
    <cellStyle name="_구문소철암투찰_광릉투찰_월기성갑지_석방육교기성갑지_5월말공사자금청구서" xfId="314" xr:uid="{00000000-0005-0000-0000-000039010000}"/>
    <cellStyle name="_구문소철암투찰_광릉투찰_월기성갑지_석방육교기성갑지_6월말공사자금청구서(1)" xfId="315" xr:uid="{00000000-0005-0000-0000-00003A010000}"/>
    <cellStyle name="_구문소철암투찰_광릉투찰_월기성갑지_석방육교기성갑지_8월말공사자금청구서(1)" xfId="316" xr:uid="{00000000-0005-0000-0000-00003B010000}"/>
    <cellStyle name="_구문소철암투찰_광릉투찰_월기성갑지_석방육교기성갑지_Book1" xfId="317" xr:uid="{00000000-0005-0000-0000-00003C010000}"/>
    <cellStyle name="_구문소철암투찰_광릉투찰_월기성갑지_석방육교기성갑지_세아베스틸-2월자금청구서" xfId="318" xr:uid="{00000000-0005-0000-0000-00003D010000}"/>
    <cellStyle name="_구문소철암투찰_광릉투찰_월기성갑지_세아베스틸-2월자금청구서" xfId="319" xr:uid="{00000000-0005-0000-0000-00003E010000}"/>
    <cellStyle name="_구문소철암투찰_광릉투찰_월말공사자금청구서(4월)" xfId="320" xr:uid="{00000000-0005-0000-0000-00003F010000}"/>
    <cellStyle name="_구문소철암투찰_광릉투찰_월말공사자금청구서(4월)_02월 공사자금청구서(토목)" xfId="321" xr:uid="{00000000-0005-0000-0000-000040010000}"/>
    <cellStyle name="_구문소철암투찰_기성내역총괄표(7월)" xfId="322" xr:uid="{00000000-0005-0000-0000-000041010000}"/>
    <cellStyle name="_구문소철암투찰_기성내역총괄표(견본-1)" xfId="323" xr:uid="{00000000-0005-0000-0000-000042010000}"/>
    <cellStyle name="_구문소철암투찰_기성내역총괄표(견본-1)_02월 공사자금청구서(토목)" xfId="324" xr:uid="{00000000-0005-0000-0000-000043010000}"/>
    <cellStyle name="_구문소철암투찰_기성내역총괄표(견본-1)_6월말공사자금청구서" xfId="325" xr:uid="{00000000-0005-0000-0000-000044010000}"/>
    <cellStyle name="_구문소철암투찰_세아베스틸-2월자금청구서" xfId="326" xr:uid="{00000000-0005-0000-0000-000045010000}"/>
    <cellStyle name="_구문소철암투찰_실행예산총괄표" xfId="327" xr:uid="{00000000-0005-0000-0000-000046010000}"/>
    <cellStyle name="_구문소철암투찰_실행예산총괄표_02월 공사자금청구서(토목)" xfId="328" xr:uid="{00000000-0005-0000-0000-000047010000}"/>
    <cellStyle name="_구문소철암투찰_실행예산총괄표_6월말공사자금청구서" xfId="329" xr:uid="{00000000-0005-0000-0000-000048010000}"/>
    <cellStyle name="_구문소철암투찰_월기성갑지" xfId="330" xr:uid="{00000000-0005-0000-0000-000049010000}"/>
    <cellStyle name="_구문소철암투찰_월기성갑지_05년기성10월" xfId="331" xr:uid="{00000000-0005-0000-0000-00004A010000}"/>
    <cellStyle name="_구문소철암투찰_월기성갑지_05년기성10월_5월말공사자금청구서" xfId="332" xr:uid="{00000000-0005-0000-0000-00004B010000}"/>
    <cellStyle name="_구문소철암투찰_월기성갑지_05년기성10월_6월말공사자금청구서(1)" xfId="333" xr:uid="{00000000-0005-0000-0000-00004C010000}"/>
    <cellStyle name="_구문소철암투찰_월기성갑지_05년기성10월_8월말공사자금청구서(1)" xfId="334" xr:uid="{00000000-0005-0000-0000-00004D010000}"/>
    <cellStyle name="_구문소철암투찰_월기성갑지_05년기성10월_Book1" xfId="335" xr:uid="{00000000-0005-0000-0000-00004E010000}"/>
    <cellStyle name="_구문소철암투찰_월기성갑지_05년기성10월_세아베스틸-2월자금청구서" xfId="336" xr:uid="{00000000-0005-0000-0000-00004F010000}"/>
    <cellStyle name="_구문소철암투찰_월기성갑지_06년기성01월" xfId="337" xr:uid="{00000000-0005-0000-0000-000050010000}"/>
    <cellStyle name="_구문소철암투찰_월기성갑지_06년기성01월_5월말공사자금청구서" xfId="338" xr:uid="{00000000-0005-0000-0000-000051010000}"/>
    <cellStyle name="_구문소철암투찰_월기성갑지_06년기성01월_6월말공사자금청구서(1)" xfId="339" xr:uid="{00000000-0005-0000-0000-000052010000}"/>
    <cellStyle name="_구문소철암투찰_월기성갑지_06년기성01월_8월말공사자금청구서(1)" xfId="340" xr:uid="{00000000-0005-0000-0000-000053010000}"/>
    <cellStyle name="_구문소철암투찰_월기성갑지_06년기성01월_Book1" xfId="341" xr:uid="{00000000-0005-0000-0000-000054010000}"/>
    <cellStyle name="_구문소철암투찰_월기성갑지_06년기성01월_세아베스틸-2월자금청구서" xfId="342" xr:uid="{00000000-0005-0000-0000-000055010000}"/>
    <cellStyle name="_구문소철암투찰_월기성갑지_5월말공사자금청구서" xfId="343" xr:uid="{00000000-0005-0000-0000-000056010000}"/>
    <cellStyle name="_구문소철암투찰_월기성갑지_6월말공사자금청구서(1)" xfId="344" xr:uid="{00000000-0005-0000-0000-000057010000}"/>
    <cellStyle name="_구문소철암투찰_월기성갑지_8월말공사자금청구서(1)" xfId="345" xr:uid="{00000000-0005-0000-0000-000058010000}"/>
    <cellStyle name="_구문소철암투찰_월기성갑지_Book1" xfId="346" xr:uid="{00000000-0005-0000-0000-000059010000}"/>
    <cellStyle name="_구문소철암투찰_월기성갑지_가온전선-06년기성06월" xfId="347" xr:uid="{00000000-0005-0000-0000-00005A010000}"/>
    <cellStyle name="_구문소철암투찰_월기성갑지_가온전선-06년기성06월_5월말공사자금청구서" xfId="348" xr:uid="{00000000-0005-0000-0000-00005B010000}"/>
    <cellStyle name="_구문소철암투찰_월기성갑지_가온전선-06년기성06월_6월말공사자금청구서(1)" xfId="349" xr:uid="{00000000-0005-0000-0000-00005C010000}"/>
    <cellStyle name="_구문소철암투찰_월기성갑지_가온전선-06년기성06월_8월말공사자금청구서(1)" xfId="350" xr:uid="{00000000-0005-0000-0000-00005D010000}"/>
    <cellStyle name="_구문소철암투찰_월기성갑지_가온전선-06년기성06월_Book1" xfId="351" xr:uid="{00000000-0005-0000-0000-00005E010000}"/>
    <cellStyle name="_구문소철암투찰_월기성갑지_가온전선-06년기성06월_세아베스틸-2월자금청구서" xfId="352" xr:uid="{00000000-0005-0000-0000-00005F010000}"/>
    <cellStyle name="_구문소철암투찰_월기성갑지_김제 상수도 기성" xfId="353" xr:uid="{00000000-0005-0000-0000-000060010000}"/>
    <cellStyle name="_구문소철암투찰_월기성갑지_김제 상수도 기성_5월말공사자금청구서" xfId="354" xr:uid="{00000000-0005-0000-0000-000061010000}"/>
    <cellStyle name="_구문소철암투찰_월기성갑지_김제 상수도 기성_6월말공사자금청구서(1)" xfId="355" xr:uid="{00000000-0005-0000-0000-000062010000}"/>
    <cellStyle name="_구문소철암투찰_월기성갑지_김제 상수도 기성_8월말공사자금청구서(1)" xfId="356" xr:uid="{00000000-0005-0000-0000-000063010000}"/>
    <cellStyle name="_구문소철암투찰_월기성갑지_김제 상수도 기성_Book1" xfId="357" xr:uid="{00000000-0005-0000-0000-000064010000}"/>
    <cellStyle name="_구문소철암투찰_월기성갑지_김제 상수도 기성_세아베스틸-2월자금청구서" xfId="358" xr:uid="{00000000-0005-0000-0000-000065010000}"/>
    <cellStyle name="_구문소철암투찰_월기성갑지_상수도 기성11월" xfId="359" xr:uid="{00000000-0005-0000-0000-000066010000}"/>
    <cellStyle name="_구문소철암투찰_월기성갑지_상수도 기성11월_5월말공사자금청구서" xfId="360" xr:uid="{00000000-0005-0000-0000-000067010000}"/>
    <cellStyle name="_구문소철암투찰_월기성갑지_상수도 기성11월_6월말공사자금청구서(1)" xfId="361" xr:uid="{00000000-0005-0000-0000-000068010000}"/>
    <cellStyle name="_구문소철암투찰_월기성갑지_상수도 기성11월_8월말공사자금청구서(1)" xfId="362" xr:uid="{00000000-0005-0000-0000-000069010000}"/>
    <cellStyle name="_구문소철암투찰_월기성갑지_상수도 기성11월_Book1" xfId="363" xr:uid="{00000000-0005-0000-0000-00006A010000}"/>
    <cellStyle name="_구문소철암투찰_월기성갑지_상수도 기성11월_세아베스틸-2월자금청구서" xfId="364" xr:uid="{00000000-0005-0000-0000-00006B010000}"/>
    <cellStyle name="_구문소철암투찰_월기성갑지_석방육교기성갑지" xfId="365" xr:uid="{00000000-0005-0000-0000-00006C010000}"/>
    <cellStyle name="_구문소철암투찰_월기성갑지_석방육교기성갑지_5월말공사자금청구서" xfId="366" xr:uid="{00000000-0005-0000-0000-00006D010000}"/>
    <cellStyle name="_구문소철암투찰_월기성갑지_석방육교기성갑지_6월말공사자금청구서(1)" xfId="367" xr:uid="{00000000-0005-0000-0000-00006E010000}"/>
    <cellStyle name="_구문소철암투찰_월기성갑지_석방육교기성갑지_8월말공사자금청구서(1)" xfId="368" xr:uid="{00000000-0005-0000-0000-00006F010000}"/>
    <cellStyle name="_구문소철암투찰_월기성갑지_석방육교기성갑지_Book1" xfId="369" xr:uid="{00000000-0005-0000-0000-000070010000}"/>
    <cellStyle name="_구문소철암투찰_월기성갑지_석방육교기성갑지_세아베스틸-2월자금청구서" xfId="370" xr:uid="{00000000-0005-0000-0000-000071010000}"/>
    <cellStyle name="_구문소철암투찰_월기성갑지_세아베스틸-2월자금청구서" xfId="371" xr:uid="{00000000-0005-0000-0000-000072010000}"/>
    <cellStyle name="_구문소철암투찰_월말공사자금청구서(4월)" xfId="372" xr:uid="{00000000-0005-0000-0000-000073010000}"/>
    <cellStyle name="_구문소철암투찰_월말공사자금청구서(4월)_02월 공사자금청구서(토목)" xfId="373" xr:uid="{00000000-0005-0000-0000-000074010000}"/>
    <cellStyle name="_기성내역서" xfId="374" xr:uid="{00000000-0005-0000-0000-000075010000}"/>
    <cellStyle name="_기성내역총괄표(7월)" xfId="375" xr:uid="{00000000-0005-0000-0000-000076010000}"/>
    <cellStyle name="_기성내역총괄표(견본-1)" xfId="376" xr:uid="{00000000-0005-0000-0000-000077010000}"/>
    <cellStyle name="_기성내역총괄표(견본-1)_02월 공사자금청구서(토목)" xfId="377" xr:uid="{00000000-0005-0000-0000-000078010000}"/>
    <cellStyle name="_기성내역총괄표(견본-1)_6월말공사자금청구서" xfId="378" xr:uid="{00000000-0005-0000-0000-000079010000}"/>
    <cellStyle name="_내역서" xfId="379" xr:uid="{00000000-0005-0000-0000-00007A010000}"/>
    <cellStyle name="_문경숙근린생활시설-계약내역서" xfId="380" xr:uid="{00000000-0005-0000-0000-00007B010000}"/>
    <cellStyle name="_문경숙씨근린생활기계설비" xfId="381" xr:uid="{00000000-0005-0000-0000-00007C010000}"/>
    <cellStyle name="_성지PVC" xfId="382" xr:uid="{00000000-0005-0000-0000-00007D010000}"/>
    <cellStyle name="_세아베스틸-2월자금청구서" xfId="383" xr:uid="{00000000-0005-0000-0000-00007E010000}"/>
    <cellStyle name="_실행예산총괄표" xfId="384" xr:uid="{00000000-0005-0000-0000-00007F010000}"/>
    <cellStyle name="_실행예산총괄표_02월 공사자금청구서(토목)" xfId="385" xr:uid="{00000000-0005-0000-0000-000080010000}"/>
    <cellStyle name="_실행예산총괄표_6월말공사자금청구서" xfId="386" xr:uid="{00000000-0005-0000-0000-000081010000}"/>
    <cellStyle name="_월기성갑지" xfId="387" xr:uid="{00000000-0005-0000-0000-000082010000}"/>
    <cellStyle name="_월기성갑지_05년기성10월" xfId="388" xr:uid="{00000000-0005-0000-0000-000083010000}"/>
    <cellStyle name="_월기성갑지_05년기성10월_5월말공사자금청구서" xfId="389" xr:uid="{00000000-0005-0000-0000-000084010000}"/>
    <cellStyle name="_월기성갑지_05년기성10월_6월말공사자금청구서(1)" xfId="390" xr:uid="{00000000-0005-0000-0000-000085010000}"/>
    <cellStyle name="_월기성갑지_05년기성10월_8월말공사자금청구서(1)" xfId="391" xr:uid="{00000000-0005-0000-0000-000086010000}"/>
    <cellStyle name="_월기성갑지_05년기성10월_Book1" xfId="392" xr:uid="{00000000-0005-0000-0000-000087010000}"/>
    <cellStyle name="_월기성갑지_05년기성10월_세아베스틸-2월자금청구서" xfId="393" xr:uid="{00000000-0005-0000-0000-000088010000}"/>
    <cellStyle name="_월기성갑지_06년기성01월" xfId="394" xr:uid="{00000000-0005-0000-0000-000089010000}"/>
    <cellStyle name="_월기성갑지_06년기성01월_5월말공사자금청구서" xfId="395" xr:uid="{00000000-0005-0000-0000-00008A010000}"/>
    <cellStyle name="_월기성갑지_06년기성01월_6월말공사자금청구서(1)" xfId="396" xr:uid="{00000000-0005-0000-0000-00008B010000}"/>
    <cellStyle name="_월기성갑지_06년기성01월_8월말공사자금청구서(1)" xfId="397" xr:uid="{00000000-0005-0000-0000-00008C010000}"/>
    <cellStyle name="_월기성갑지_06년기성01월_Book1" xfId="398" xr:uid="{00000000-0005-0000-0000-00008D010000}"/>
    <cellStyle name="_월기성갑지_06년기성01월_세아베스틸-2월자금청구서" xfId="399" xr:uid="{00000000-0005-0000-0000-00008E010000}"/>
    <cellStyle name="_월기성갑지_5월말공사자금청구서" xfId="400" xr:uid="{00000000-0005-0000-0000-00008F010000}"/>
    <cellStyle name="_월기성갑지_6월말공사자금청구서(1)" xfId="401" xr:uid="{00000000-0005-0000-0000-000090010000}"/>
    <cellStyle name="_월기성갑지_8월말공사자금청구서(1)" xfId="402" xr:uid="{00000000-0005-0000-0000-000091010000}"/>
    <cellStyle name="_월기성갑지_Book1" xfId="403" xr:uid="{00000000-0005-0000-0000-000092010000}"/>
    <cellStyle name="_월기성갑지_가온전선-06년기성06월" xfId="404" xr:uid="{00000000-0005-0000-0000-000093010000}"/>
    <cellStyle name="_월기성갑지_가온전선-06년기성06월_5월말공사자금청구서" xfId="405" xr:uid="{00000000-0005-0000-0000-000094010000}"/>
    <cellStyle name="_월기성갑지_가온전선-06년기성06월_6월말공사자금청구서(1)" xfId="406" xr:uid="{00000000-0005-0000-0000-000095010000}"/>
    <cellStyle name="_월기성갑지_가온전선-06년기성06월_8월말공사자금청구서(1)" xfId="407" xr:uid="{00000000-0005-0000-0000-000096010000}"/>
    <cellStyle name="_월기성갑지_가온전선-06년기성06월_Book1" xfId="408" xr:uid="{00000000-0005-0000-0000-000097010000}"/>
    <cellStyle name="_월기성갑지_가온전선-06년기성06월_세아베스틸-2월자금청구서" xfId="409" xr:uid="{00000000-0005-0000-0000-000098010000}"/>
    <cellStyle name="_월기성갑지_김제 상수도 기성" xfId="410" xr:uid="{00000000-0005-0000-0000-000099010000}"/>
    <cellStyle name="_월기성갑지_김제 상수도 기성_5월말공사자금청구서" xfId="411" xr:uid="{00000000-0005-0000-0000-00009A010000}"/>
    <cellStyle name="_월기성갑지_김제 상수도 기성_6월말공사자금청구서(1)" xfId="412" xr:uid="{00000000-0005-0000-0000-00009B010000}"/>
    <cellStyle name="_월기성갑지_김제 상수도 기성_8월말공사자금청구서(1)" xfId="413" xr:uid="{00000000-0005-0000-0000-00009C010000}"/>
    <cellStyle name="_월기성갑지_김제 상수도 기성_Book1" xfId="414" xr:uid="{00000000-0005-0000-0000-00009D010000}"/>
    <cellStyle name="_월기성갑지_김제 상수도 기성_세아베스틸-2월자금청구서" xfId="415" xr:uid="{00000000-0005-0000-0000-00009E010000}"/>
    <cellStyle name="_월기성갑지_상수도 기성11월" xfId="416" xr:uid="{00000000-0005-0000-0000-00009F010000}"/>
    <cellStyle name="_월기성갑지_상수도 기성11월_5월말공사자금청구서" xfId="417" xr:uid="{00000000-0005-0000-0000-0000A0010000}"/>
    <cellStyle name="_월기성갑지_상수도 기성11월_6월말공사자금청구서(1)" xfId="418" xr:uid="{00000000-0005-0000-0000-0000A1010000}"/>
    <cellStyle name="_월기성갑지_상수도 기성11월_8월말공사자금청구서(1)" xfId="419" xr:uid="{00000000-0005-0000-0000-0000A2010000}"/>
    <cellStyle name="_월기성갑지_상수도 기성11월_Book1" xfId="420" xr:uid="{00000000-0005-0000-0000-0000A3010000}"/>
    <cellStyle name="_월기성갑지_상수도 기성11월_세아베스틸-2월자금청구서" xfId="421" xr:uid="{00000000-0005-0000-0000-0000A4010000}"/>
    <cellStyle name="_월기성갑지_석방육교기성갑지" xfId="422" xr:uid="{00000000-0005-0000-0000-0000A5010000}"/>
    <cellStyle name="_월기성갑지_석방육교기성갑지_5월말공사자금청구서" xfId="423" xr:uid="{00000000-0005-0000-0000-0000A6010000}"/>
    <cellStyle name="_월기성갑지_석방육교기성갑지_6월말공사자금청구서(1)" xfId="424" xr:uid="{00000000-0005-0000-0000-0000A7010000}"/>
    <cellStyle name="_월기성갑지_석방육교기성갑지_8월말공사자금청구서(1)" xfId="425" xr:uid="{00000000-0005-0000-0000-0000A8010000}"/>
    <cellStyle name="_월기성갑지_석방육교기성갑지_Book1" xfId="426" xr:uid="{00000000-0005-0000-0000-0000A9010000}"/>
    <cellStyle name="_월기성갑지_석방육교기성갑지_세아베스틸-2월자금청구서" xfId="427" xr:uid="{00000000-0005-0000-0000-0000AA010000}"/>
    <cellStyle name="_월기성갑지_세아베스틸-2월자금청구서" xfId="428" xr:uid="{00000000-0005-0000-0000-0000AB010000}"/>
    <cellStyle name="_월말공사자금청구서(4월)" xfId="429" xr:uid="{00000000-0005-0000-0000-0000AC010000}"/>
    <cellStyle name="_월말공사자금청구서(4월)_02월 공사자금청구서(토목)" xfId="430" xr:uid="{00000000-0005-0000-0000-0000AD010000}"/>
    <cellStyle name="_호원대자동차실습장(설비공내역서)(1)" xfId="431" xr:uid="{00000000-0005-0000-0000-0000AE010000}"/>
    <cellStyle name="’E‰Y [0.00]_laroux" xfId="432" xr:uid="{00000000-0005-0000-0000-0000AF010000}"/>
    <cellStyle name="’E‰Y_laroux" xfId="433" xr:uid="{00000000-0005-0000-0000-0000B0010000}"/>
    <cellStyle name="¤@?e_TEST-1 " xfId="434" xr:uid="{00000000-0005-0000-0000-0000B1010000}"/>
    <cellStyle name="0.0" xfId="435" xr:uid="{00000000-0005-0000-0000-0000B2010000}"/>
    <cellStyle name="0.00" xfId="436" xr:uid="{00000000-0005-0000-0000-0000B3010000}"/>
    <cellStyle name="1" xfId="437" xr:uid="{00000000-0005-0000-0000-0000B4010000}"/>
    <cellStyle name="2" xfId="438" xr:uid="{00000000-0005-0000-0000-0000B5010000}"/>
    <cellStyle name="20% - 강조색1" xfId="439" builtinId="30" customBuiltin="1"/>
    <cellStyle name="20% - 강조색1 10" xfId="440" xr:uid="{00000000-0005-0000-0000-0000B7010000}"/>
    <cellStyle name="20% - 강조색1 11" xfId="441" xr:uid="{00000000-0005-0000-0000-0000B8010000}"/>
    <cellStyle name="20% - 강조색1 12" xfId="442" xr:uid="{00000000-0005-0000-0000-0000B9010000}"/>
    <cellStyle name="20% - 강조색1 13" xfId="443" xr:uid="{00000000-0005-0000-0000-0000BA010000}"/>
    <cellStyle name="20% - 강조색1 14" xfId="444" xr:uid="{00000000-0005-0000-0000-0000BB010000}"/>
    <cellStyle name="20% - 강조색1 15" xfId="445" xr:uid="{00000000-0005-0000-0000-0000BC010000}"/>
    <cellStyle name="20% - 강조색1 16" xfId="446" xr:uid="{00000000-0005-0000-0000-0000BD010000}"/>
    <cellStyle name="20% - 강조색1 17" xfId="447" xr:uid="{00000000-0005-0000-0000-0000BE010000}"/>
    <cellStyle name="20% - 강조색1 18" xfId="448" xr:uid="{00000000-0005-0000-0000-0000BF010000}"/>
    <cellStyle name="20% - 강조색1 19" xfId="449" xr:uid="{00000000-0005-0000-0000-0000C0010000}"/>
    <cellStyle name="20% - 강조색1 2" xfId="450" xr:uid="{00000000-0005-0000-0000-0000C1010000}"/>
    <cellStyle name="20% - 강조색1 2 2" xfId="451" xr:uid="{00000000-0005-0000-0000-0000C2010000}"/>
    <cellStyle name="20% - 강조색1 2 3" xfId="452" xr:uid="{00000000-0005-0000-0000-0000C3010000}"/>
    <cellStyle name="20% - 강조색1 20" xfId="453" xr:uid="{00000000-0005-0000-0000-0000C4010000}"/>
    <cellStyle name="20% - 강조색1 21" xfId="454" xr:uid="{00000000-0005-0000-0000-0000C5010000}"/>
    <cellStyle name="20% - 강조색1 22" xfId="455" xr:uid="{00000000-0005-0000-0000-0000C6010000}"/>
    <cellStyle name="20% - 강조색1 23" xfId="456" xr:uid="{00000000-0005-0000-0000-0000C7010000}"/>
    <cellStyle name="20% - 강조색1 24" xfId="457" xr:uid="{00000000-0005-0000-0000-0000C8010000}"/>
    <cellStyle name="20% - 강조색1 25" xfId="458" xr:uid="{00000000-0005-0000-0000-0000C9010000}"/>
    <cellStyle name="20% - 강조색1 26" xfId="459" xr:uid="{00000000-0005-0000-0000-0000CA010000}"/>
    <cellStyle name="20% - 강조색1 27" xfId="460" xr:uid="{00000000-0005-0000-0000-0000CB010000}"/>
    <cellStyle name="20% - 강조색1 3" xfId="461" xr:uid="{00000000-0005-0000-0000-0000CC010000}"/>
    <cellStyle name="20% - 강조색1 3 2" xfId="462" xr:uid="{00000000-0005-0000-0000-0000CD010000}"/>
    <cellStyle name="20% - 강조색1 3 3" xfId="463" xr:uid="{00000000-0005-0000-0000-0000CE010000}"/>
    <cellStyle name="20% - 강조색1 3 4" xfId="464" xr:uid="{00000000-0005-0000-0000-0000CF010000}"/>
    <cellStyle name="20% - 강조색1 3 5" xfId="465" xr:uid="{00000000-0005-0000-0000-0000D0010000}"/>
    <cellStyle name="20% - 강조색1 3 6" xfId="466" xr:uid="{00000000-0005-0000-0000-0000D1010000}"/>
    <cellStyle name="20% - 강조색1 3 7" xfId="467" xr:uid="{00000000-0005-0000-0000-0000D2010000}"/>
    <cellStyle name="20% - 강조색1 4" xfId="468" xr:uid="{00000000-0005-0000-0000-0000D3010000}"/>
    <cellStyle name="20% - 강조색1 4 2" xfId="469" xr:uid="{00000000-0005-0000-0000-0000D4010000}"/>
    <cellStyle name="20% - 강조색1 4 3" xfId="470" xr:uid="{00000000-0005-0000-0000-0000D5010000}"/>
    <cellStyle name="20% - 강조색1 4 4" xfId="471" xr:uid="{00000000-0005-0000-0000-0000D6010000}"/>
    <cellStyle name="20% - 강조색1 5" xfId="472" xr:uid="{00000000-0005-0000-0000-0000D7010000}"/>
    <cellStyle name="20% - 강조색1 6" xfId="473" xr:uid="{00000000-0005-0000-0000-0000D8010000}"/>
    <cellStyle name="20% - 강조색1 7" xfId="474" xr:uid="{00000000-0005-0000-0000-0000D9010000}"/>
    <cellStyle name="20% - 강조색1 8" xfId="475" xr:uid="{00000000-0005-0000-0000-0000DA010000}"/>
    <cellStyle name="20% - 강조색1 9" xfId="476" xr:uid="{00000000-0005-0000-0000-0000DB010000}"/>
    <cellStyle name="20% - 강조색2" xfId="477" builtinId="34" customBuiltin="1"/>
    <cellStyle name="20% - 강조색2 10" xfId="478" xr:uid="{00000000-0005-0000-0000-0000DD010000}"/>
    <cellStyle name="20% - 강조색2 11" xfId="479" xr:uid="{00000000-0005-0000-0000-0000DE010000}"/>
    <cellStyle name="20% - 강조색2 12" xfId="480" xr:uid="{00000000-0005-0000-0000-0000DF010000}"/>
    <cellStyle name="20% - 강조색2 13" xfId="481" xr:uid="{00000000-0005-0000-0000-0000E0010000}"/>
    <cellStyle name="20% - 강조색2 14" xfId="482" xr:uid="{00000000-0005-0000-0000-0000E1010000}"/>
    <cellStyle name="20% - 강조색2 15" xfId="483" xr:uid="{00000000-0005-0000-0000-0000E2010000}"/>
    <cellStyle name="20% - 강조색2 16" xfId="484" xr:uid="{00000000-0005-0000-0000-0000E3010000}"/>
    <cellStyle name="20% - 강조색2 17" xfId="485" xr:uid="{00000000-0005-0000-0000-0000E4010000}"/>
    <cellStyle name="20% - 강조색2 18" xfId="486" xr:uid="{00000000-0005-0000-0000-0000E5010000}"/>
    <cellStyle name="20% - 강조색2 19" xfId="487" xr:uid="{00000000-0005-0000-0000-0000E6010000}"/>
    <cellStyle name="20% - 강조색2 2" xfId="488" xr:uid="{00000000-0005-0000-0000-0000E7010000}"/>
    <cellStyle name="20% - 강조색2 2 2" xfId="489" xr:uid="{00000000-0005-0000-0000-0000E8010000}"/>
    <cellStyle name="20% - 강조색2 2 3" xfId="490" xr:uid="{00000000-0005-0000-0000-0000E9010000}"/>
    <cellStyle name="20% - 강조색2 20" xfId="491" xr:uid="{00000000-0005-0000-0000-0000EA010000}"/>
    <cellStyle name="20% - 강조색2 21" xfId="492" xr:uid="{00000000-0005-0000-0000-0000EB010000}"/>
    <cellStyle name="20% - 강조색2 22" xfId="493" xr:uid="{00000000-0005-0000-0000-0000EC010000}"/>
    <cellStyle name="20% - 강조색2 23" xfId="494" xr:uid="{00000000-0005-0000-0000-0000ED010000}"/>
    <cellStyle name="20% - 강조색2 24" xfId="495" xr:uid="{00000000-0005-0000-0000-0000EE010000}"/>
    <cellStyle name="20% - 강조색2 25" xfId="496" xr:uid="{00000000-0005-0000-0000-0000EF010000}"/>
    <cellStyle name="20% - 강조색2 26" xfId="497" xr:uid="{00000000-0005-0000-0000-0000F0010000}"/>
    <cellStyle name="20% - 강조색2 27" xfId="498" xr:uid="{00000000-0005-0000-0000-0000F1010000}"/>
    <cellStyle name="20% - 강조색2 3" xfId="499" xr:uid="{00000000-0005-0000-0000-0000F2010000}"/>
    <cellStyle name="20% - 강조색2 3 2" xfId="500" xr:uid="{00000000-0005-0000-0000-0000F3010000}"/>
    <cellStyle name="20% - 강조색2 3 3" xfId="501" xr:uid="{00000000-0005-0000-0000-0000F4010000}"/>
    <cellStyle name="20% - 강조색2 3 4" xfId="502" xr:uid="{00000000-0005-0000-0000-0000F5010000}"/>
    <cellStyle name="20% - 강조색2 3 5" xfId="503" xr:uid="{00000000-0005-0000-0000-0000F6010000}"/>
    <cellStyle name="20% - 강조색2 3 6" xfId="504" xr:uid="{00000000-0005-0000-0000-0000F7010000}"/>
    <cellStyle name="20% - 강조색2 3 7" xfId="505" xr:uid="{00000000-0005-0000-0000-0000F8010000}"/>
    <cellStyle name="20% - 강조색2 4" xfId="506" xr:uid="{00000000-0005-0000-0000-0000F9010000}"/>
    <cellStyle name="20% - 강조색2 4 2" xfId="507" xr:uid="{00000000-0005-0000-0000-0000FA010000}"/>
    <cellStyle name="20% - 강조색2 4 3" xfId="508" xr:uid="{00000000-0005-0000-0000-0000FB010000}"/>
    <cellStyle name="20% - 강조색2 4 4" xfId="509" xr:uid="{00000000-0005-0000-0000-0000FC010000}"/>
    <cellStyle name="20% - 강조색2 5" xfId="510" xr:uid="{00000000-0005-0000-0000-0000FD010000}"/>
    <cellStyle name="20% - 강조색2 6" xfId="511" xr:uid="{00000000-0005-0000-0000-0000FE010000}"/>
    <cellStyle name="20% - 강조색2 7" xfId="512" xr:uid="{00000000-0005-0000-0000-0000FF010000}"/>
    <cellStyle name="20% - 강조색2 8" xfId="513" xr:uid="{00000000-0005-0000-0000-000000020000}"/>
    <cellStyle name="20% - 강조색2 9" xfId="514" xr:uid="{00000000-0005-0000-0000-000001020000}"/>
    <cellStyle name="20% - 강조색3" xfId="515" builtinId="38" customBuiltin="1"/>
    <cellStyle name="20% - 강조색3 10" xfId="516" xr:uid="{00000000-0005-0000-0000-000003020000}"/>
    <cellStyle name="20% - 강조색3 11" xfId="517" xr:uid="{00000000-0005-0000-0000-000004020000}"/>
    <cellStyle name="20% - 강조색3 12" xfId="518" xr:uid="{00000000-0005-0000-0000-000005020000}"/>
    <cellStyle name="20% - 강조색3 13" xfId="519" xr:uid="{00000000-0005-0000-0000-000006020000}"/>
    <cellStyle name="20% - 강조색3 14" xfId="520" xr:uid="{00000000-0005-0000-0000-000007020000}"/>
    <cellStyle name="20% - 강조색3 15" xfId="521" xr:uid="{00000000-0005-0000-0000-000008020000}"/>
    <cellStyle name="20% - 강조색3 16" xfId="522" xr:uid="{00000000-0005-0000-0000-000009020000}"/>
    <cellStyle name="20% - 강조색3 17" xfId="523" xr:uid="{00000000-0005-0000-0000-00000A020000}"/>
    <cellStyle name="20% - 강조색3 18" xfId="524" xr:uid="{00000000-0005-0000-0000-00000B020000}"/>
    <cellStyle name="20% - 강조색3 19" xfId="525" xr:uid="{00000000-0005-0000-0000-00000C020000}"/>
    <cellStyle name="20% - 강조색3 2" xfId="526" xr:uid="{00000000-0005-0000-0000-00000D020000}"/>
    <cellStyle name="20% - 강조색3 2 2" xfId="527" xr:uid="{00000000-0005-0000-0000-00000E020000}"/>
    <cellStyle name="20% - 강조색3 2 3" xfId="528" xr:uid="{00000000-0005-0000-0000-00000F020000}"/>
    <cellStyle name="20% - 강조색3 20" xfId="529" xr:uid="{00000000-0005-0000-0000-000010020000}"/>
    <cellStyle name="20% - 강조색3 21" xfId="530" xr:uid="{00000000-0005-0000-0000-000011020000}"/>
    <cellStyle name="20% - 강조색3 22" xfId="531" xr:uid="{00000000-0005-0000-0000-000012020000}"/>
    <cellStyle name="20% - 강조색3 23" xfId="532" xr:uid="{00000000-0005-0000-0000-000013020000}"/>
    <cellStyle name="20% - 강조색3 24" xfId="533" xr:uid="{00000000-0005-0000-0000-000014020000}"/>
    <cellStyle name="20% - 강조색3 25" xfId="534" xr:uid="{00000000-0005-0000-0000-000015020000}"/>
    <cellStyle name="20% - 강조색3 26" xfId="535" xr:uid="{00000000-0005-0000-0000-000016020000}"/>
    <cellStyle name="20% - 강조색3 27" xfId="536" xr:uid="{00000000-0005-0000-0000-000017020000}"/>
    <cellStyle name="20% - 강조색3 3" xfId="537" xr:uid="{00000000-0005-0000-0000-000018020000}"/>
    <cellStyle name="20% - 강조색3 3 2" xfId="538" xr:uid="{00000000-0005-0000-0000-000019020000}"/>
    <cellStyle name="20% - 강조색3 3 3" xfId="539" xr:uid="{00000000-0005-0000-0000-00001A020000}"/>
    <cellStyle name="20% - 강조색3 3 4" xfId="540" xr:uid="{00000000-0005-0000-0000-00001B020000}"/>
    <cellStyle name="20% - 강조색3 3 5" xfId="541" xr:uid="{00000000-0005-0000-0000-00001C020000}"/>
    <cellStyle name="20% - 강조색3 3 6" xfId="542" xr:uid="{00000000-0005-0000-0000-00001D020000}"/>
    <cellStyle name="20% - 강조색3 3 7" xfId="543" xr:uid="{00000000-0005-0000-0000-00001E020000}"/>
    <cellStyle name="20% - 강조색3 4" xfId="544" xr:uid="{00000000-0005-0000-0000-00001F020000}"/>
    <cellStyle name="20% - 강조색3 4 2" xfId="545" xr:uid="{00000000-0005-0000-0000-000020020000}"/>
    <cellStyle name="20% - 강조색3 4 3" xfId="546" xr:uid="{00000000-0005-0000-0000-000021020000}"/>
    <cellStyle name="20% - 강조색3 4 4" xfId="547" xr:uid="{00000000-0005-0000-0000-000022020000}"/>
    <cellStyle name="20% - 강조색3 5" xfId="548" xr:uid="{00000000-0005-0000-0000-000023020000}"/>
    <cellStyle name="20% - 강조색3 6" xfId="549" xr:uid="{00000000-0005-0000-0000-000024020000}"/>
    <cellStyle name="20% - 강조색3 7" xfId="550" xr:uid="{00000000-0005-0000-0000-000025020000}"/>
    <cellStyle name="20% - 강조색3 8" xfId="551" xr:uid="{00000000-0005-0000-0000-000026020000}"/>
    <cellStyle name="20% - 강조색3 9" xfId="552" xr:uid="{00000000-0005-0000-0000-000027020000}"/>
    <cellStyle name="20% - 강조색4" xfId="553" builtinId="42" customBuiltin="1"/>
    <cellStyle name="20% - 강조색4 10" xfId="554" xr:uid="{00000000-0005-0000-0000-000029020000}"/>
    <cellStyle name="20% - 강조색4 11" xfId="555" xr:uid="{00000000-0005-0000-0000-00002A020000}"/>
    <cellStyle name="20% - 강조색4 12" xfId="556" xr:uid="{00000000-0005-0000-0000-00002B020000}"/>
    <cellStyle name="20% - 강조색4 13" xfId="557" xr:uid="{00000000-0005-0000-0000-00002C020000}"/>
    <cellStyle name="20% - 강조색4 14" xfId="558" xr:uid="{00000000-0005-0000-0000-00002D020000}"/>
    <cellStyle name="20% - 강조색4 15" xfId="559" xr:uid="{00000000-0005-0000-0000-00002E020000}"/>
    <cellStyle name="20% - 강조색4 16" xfId="560" xr:uid="{00000000-0005-0000-0000-00002F020000}"/>
    <cellStyle name="20% - 강조색4 17" xfId="561" xr:uid="{00000000-0005-0000-0000-000030020000}"/>
    <cellStyle name="20% - 강조색4 18" xfId="562" xr:uid="{00000000-0005-0000-0000-000031020000}"/>
    <cellStyle name="20% - 강조색4 19" xfId="563" xr:uid="{00000000-0005-0000-0000-000032020000}"/>
    <cellStyle name="20% - 강조색4 2" xfId="564" xr:uid="{00000000-0005-0000-0000-000033020000}"/>
    <cellStyle name="20% - 강조색4 2 2" xfId="565" xr:uid="{00000000-0005-0000-0000-000034020000}"/>
    <cellStyle name="20% - 강조색4 2 3" xfId="566" xr:uid="{00000000-0005-0000-0000-000035020000}"/>
    <cellStyle name="20% - 강조색4 20" xfId="567" xr:uid="{00000000-0005-0000-0000-000036020000}"/>
    <cellStyle name="20% - 강조색4 21" xfId="568" xr:uid="{00000000-0005-0000-0000-000037020000}"/>
    <cellStyle name="20% - 강조색4 22" xfId="569" xr:uid="{00000000-0005-0000-0000-000038020000}"/>
    <cellStyle name="20% - 강조색4 23" xfId="570" xr:uid="{00000000-0005-0000-0000-000039020000}"/>
    <cellStyle name="20% - 강조색4 24" xfId="571" xr:uid="{00000000-0005-0000-0000-00003A020000}"/>
    <cellStyle name="20% - 강조색4 25" xfId="572" xr:uid="{00000000-0005-0000-0000-00003B020000}"/>
    <cellStyle name="20% - 강조색4 26" xfId="573" xr:uid="{00000000-0005-0000-0000-00003C020000}"/>
    <cellStyle name="20% - 강조색4 27" xfId="574" xr:uid="{00000000-0005-0000-0000-00003D020000}"/>
    <cellStyle name="20% - 강조색4 3" xfId="575" xr:uid="{00000000-0005-0000-0000-00003E020000}"/>
    <cellStyle name="20% - 강조색4 3 2" xfId="576" xr:uid="{00000000-0005-0000-0000-00003F020000}"/>
    <cellStyle name="20% - 강조색4 3 3" xfId="577" xr:uid="{00000000-0005-0000-0000-000040020000}"/>
    <cellStyle name="20% - 강조색4 3 4" xfId="578" xr:uid="{00000000-0005-0000-0000-000041020000}"/>
    <cellStyle name="20% - 강조색4 3 5" xfId="579" xr:uid="{00000000-0005-0000-0000-000042020000}"/>
    <cellStyle name="20% - 강조색4 3 6" xfId="580" xr:uid="{00000000-0005-0000-0000-000043020000}"/>
    <cellStyle name="20% - 강조색4 3 7" xfId="581" xr:uid="{00000000-0005-0000-0000-000044020000}"/>
    <cellStyle name="20% - 강조색4 4" xfId="582" xr:uid="{00000000-0005-0000-0000-000045020000}"/>
    <cellStyle name="20% - 강조색4 4 2" xfId="583" xr:uid="{00000000-0005-0000-0000-000046020000}"/>
    <cellStyle name="20% - 강조색4 4 3" xfId="584" xr:uid="{00000000-0005-0000-0000-000047020000}"/>
    <cellStyle name="20% - 강조색4 4 4" xfId="585" xr:uid="{00000000-0005-0000-0000-000048020000}"/>
    <cellStyle name="20% - 강조색4 5" xfId="586" xr:uid="{00000000-0005-0000-0000-000049020000}"/>
    <cellStyle name="20% - 강조색4 6" xfId="587" xr:uid="{00000000-0005-0000-0000-00004A020000}"/>
    <cellStyle name="20% - 강조색4 7" xfId="588" xr:uid="{00000000-0005-0000-0000-00004B020000}"/>
    <cellStyle name="20% - 강조색4 8" xfId="589" xr:uid="{00000000-0005-0000-0000-00004C020000}"/>
    <cellStyle name="20% - 강조색4 9" xfId="590" xr:uid="{00000000-0005-0000-0000-00004D020000}"/>
    <cellStyle name="20% - 강조색5" xfId="591" builtinId="46" customBuiltin="1"/>
    <cellStyle name="20% - 강조색5 10" xfId="592" xr:uid="{00000000-0005-0000-0000-00004F020000}"/>
    <cellStyle name="20% - 강조색5 11" xfId="593" xr:uid="{00000000-0005-0000-0000-000050020000}"/>
    <cellStyle name="20% - 강조색5 12" xfId="594" xr:uid="{00000000-0005-0000-0000-000051020000}"/>
    <cellStyle name="20% - 강조색5 13" xfId="595" xr:uid="{00000000-0005-0000-0000-000052020000}"/>
    <cellStyle name="20% - 강조색5 14" xfId="596" xr:uid="{00000000-0005-0000-0000-000053020000}"/>
    <cellStyle name="20% - 강조색5 15" xfId="597" xr:uid="{00000000-0005-0000-0000-000054020000}"/>
    <cellStyle name="20% - 강조색5 16" xfId="598" xr:uid="{00000000-0005-0000-0000-000055020000}"/>
    <cellStyle name="20% - 강조색5 17" xfId="599" xr:uid="{00000000-0005-0000-0000-000056020000}"/>
    <cellStyle name="20% - 강조색5 18" xfId="600" xr:uid="{00000000-0005-0000-0000-000057020000}"/>
    <cellStyle name="20% - 강조색5 19" xfId="601" xr:uid="{00000000-0005-0000-0000-000058020000}"/>
    <cellStyle name="20% - 강조색5 2" xfId="602" xr:uid="{00000000-0005-0000-0000-000059020000}"/>
    <cellStyle name="20% - 강조색5 2 2" xfId="603" xr:uid="{00000000-0005-0000-0000-00005A020000}"/>
    <cellStyle name="20% - 강조색5 2 3" xfId="604" xr:uid="{00000000-0005-0000-0000-00005B020000}"/>
    <cellStyle name="20% - 강조색5 20" xfId="605" xr:uid="{00000000-0005-0000-0000-00005C020000}"/>
    <cellStyle name="20% - 강조색5 21" xfId="606" xr:uid="{00000000-0005-0000-0000-00005D020000}"/>
    <cellStyle name="20% - 강조색5 22" xfId="607" xr:uid="{00000000-0005-0000-0000-00005E020000}"/>
    <cellStyle name="20% - 강조색5 23" xfId="608" xr:uid="{00000000-0005-0000-0000-00005F020000}"/>
    <cellStyle name="20% - 강조색5 24" xfId="609" xr:uid="{00000000-0005-0000-0000-000060020000}"/>
    <cellStyle name="20% - 강조색5 25" xfId="610" xr:uid="{00000000-0005-0000-0000-000061020000}"/>
    <cellStyle name="20% - 강조색5 26" xfId="611" xr:uid="{00000000-0005-0000-0000-000062020000}"/>
    <cellStyle name="20% - 강조색5 27" xfId="612" xr:uid="{00000000-0005-0000-0000-000063020000}"/>
    <cellStyle name="20% - 강조색5 3" xfId="613" xr:uid="{00000000-0005-0000-0000-000064020000}"/>
    <cellStyle name="20% - 강조색5 3 2" xfId="614" xr:uid="{00000000-0005-0000-0000-000065020000}"/>
    <cellStyle name="20% - 강조색5 3 3" xfId="615" xr:uid="{00000000-0005-0000-0000-000066020000}"/>
    <cellStyle name="20% - 강조색5 3 4" xfId="616" xr:uid="{00000000-0005-0000-0000-000067020000}"/>
    <cellStyle name="20% - 강조색5 3 5" xfId="617" xr:uid="{00000000-0005-0000-0000-000068020000}"/>
    <cellStyle name="20% - 강조색5 3 6" xfId="618" xr:uid="{00000000-0005-0000-0000-000069020000}"/>
    <cellStyle name="20% - 강조색5 3 7" xfId="619" xr:uid="{00000000-0005-0000-0000-00006A020000}"/>
    <cellStyle name="20% - 강조색5 4" xfId="620" xr:uid="{00000000-0005-0000-0000-00006B020000}"/>
    <cellStyle name="20% - 강조색5 4 2" xfId="621" xr:uid="{00000000-0005-0000-0000-00006C020000}"/>
    <cellStyle name="20% - 강조색5 4 3" xfId="622" xr:uid="{00000000-0005-0000-0000-00006D020000}"/>
    <cellStyle name="20% - 강조색5 4 4" xfId="623" xr:uid="{00000000-0005-0000-0000-00006E020000}"/>
    <cellStyle name="20% - 강조색5 5" xfId="624" xr:uid="{00000000-0005-0000-0000-00006F020000}"/>
    <cellStyle name="20% - 강조색5 6" xfId="625" xr:uid="{00000000-0005-0000-0000-000070020000}"/>
    <cellStyle name="20% - 강조색5 7" xfId="626" xr:uid="{00000000-0005-0000-0000-000071020000}"/>
    <cellStyle name="20% - 강조색5 8" xfId="627" xr:uid="{00000000-0005-0000-0000-000072020000}"/>
    <cellStyle name="20% - 강조색5 9" xfId="628" xr:uid="{00000000-0005-0000-0000-000073020000}"/>
    <cellStyle name="20% - 강조색6" xfId="629" builtinId="50" customBuiltin="1"/>
    <cellStyle name="20% - 강조색6 10" xfId="630" xr:uid="{00000000-0005-0000-0000-000075020000}"/>
    <cellStyle name="20% - 강조색6 11" xfId="631" xr:uid="{00000000-0005-0000-0000-000076020000}"/>
    <cellStyle name="20% - 강조색6 12" xfId="632" xr:uid="{00000000-0005-0000-0000-000077020000}"/>
    <cellStyle name="20% - 강조색6 13" xfId="633" xr:uid="{00000000-0005-0000-0000-000078020000}"/>
    <cellStyle name="20% - 강조색6 14" xfId="634" xr:uid="{00000000-0005-0000-0000-000079020000}"/>
    <cellStyle name="20% - 강조색6 15" xfId="635" xr:uid="{00000000-0005-0000-0000-00007A020000}"/>
    <cellStyle name="20% - 강조색6 16" xfId="636" xr:uid="{00000000-0005-0000-0000-00007B020000}"/>
    <cellStyle name="20% - 강조색6 17" xfId="637" xr:uid="{00000000-0005-0000-0000-00007C020000}"/>
    <cellStyle name="20% - 강조색6 18" xfId="638" xr:uid="{00000000-0005-0000-0000-00007D020000}"/>
    <cellStyle name="20% - 강조색6 19" xfId="639" xr:uid="{00000000-0005-0000-0000-00007E020000}"/>
    <cellStyle name="20% - 강조색6 2" xfId="640" xr:uid="{00000000-0005-0000-0000-00007F020000}"/>
    <cellStyle name="20% - 강조색6 2 2" xfId="641" xr:uid="{00000000-0005-0000-0000-000080020000}"/>
    <cellStyle name="20% - 강조색6 2 3" xfId="642" xr:uid="{00000000-0005-0000-0000-000081020000}"/>
    <cellStyle name="20% - 강조색6 20" xfId="643" xr:uid="{00000000-0005-0000-0000-000082020000}"/>
    <cellStyle name="20% - 강조색6 21" xfId="644" xr:uid="{00000000-0005-0000-0000-000083020000}"/>
    <cellStyle name="20% - 강조색6 22" xfId="645" xr:uid="{00000000-0005-0000-0000-000084020000}"/>
    <cellStyle name="20% - 강조색6 23" xfId="646" xr:uid="{00000000-0005-0000-0000-000085020000}"/>
    <cellStyle name="20% - 강조색6 24" xfId="647" xr:uid="{00000000-0005-0000-0000-000086020000}"/>
    <cellStyle name="20% - 강조색6 25" xfId="648" xr:uid="{00000000-0005-0000-0000-000087020000}"/>
    <cellStyle name="20% - 강조색6 26" xfId="649" xr:uid="{00000000-0005-0000-0000-000088020000}"/>
    <cellStyle name="20% - 강조색6 27" xfId="650" xr:uid="{00000000-0005-0000-0000-000089020000}"/>
    <cellStyle name="20% - 강조색6 3" xfId="651" xr:uid="{00000000-0005-0000-0000-00008A020000}"/>
    <cellStyle name="20% - 강조색6 3 2" xfId="652" xr:uid="{00000000-0005-0000-0000-00008B020000}"/>
    <cellStyle name="20% - 강조색6 3 3" xfId="653" xr:uid="{00000000-0005-0000-0000-00008C020000}"/>
    <cellStyle name="20% - 강조색6 3 4" xfId="654" xr:uid="{00000000-0005-0000-0000-00008D020000}"/>
    <cellStyle name="20% - 강조색6 3 5" xfId="655" xr:uid="{00000000-0005-0000-0000-00008E020000}"/>
    <cellStyle name="20% - 강조색6 3 6" xfId="656" xr:uid="{00000000-0005-0000-0000-00008F020000}"/>
    <cellStyle name="20% - 강조색6 3 7" xfId="657" xr:uid="{00000000-0005-0000-0000-000090020000}"/>
    <cellStyle name="20% - 강조색6 4" xfId="658" xr:uid="{00000000-0005-0000-0000-000091020000}"/>
    <cellStyle name="20% - 강조색6 4 2" xfId="659" xr:uid="{00000000-0005-0000-0000-000092020000}"/>
    <cellStyle name="20% - 강조색6 4 3" xfId="660" xr:uid="{00000000-0005-0000-0000-000093020000}"/>
    <cellStyle name="20% - 강조색6 4 4" xfId="661" xr:uid="{00000000-0005-0000-0000-000094020000}"/>
    <cellStyle name="20% - 강조색6 5" xfId="662" xr:uid="{00000000-0005-0000-0000-000095020000}"/>
    <cellStyle name="20% - 강조색6 6" xfId="663" xr:uid="{00000000-0005-0000-0000-000096020000}"/>
    <cellStyle name="20% - 강조색6 7" xfId="664" xr:uid="{00000000-0005-0000-0000-000097020000}"/>
    <cellStyle name="20% - 강조색6 8" xfId="665" xr:uid="{00000000-0005-0000-0000-000098020000}"/>
    <cellStyle name="20% - 강조색6 9" xfId="666" xr:uid="{00000000-0005-0000-0000-000099020000}"/>
    <cellStyle name="40% - 강조색1" xfId="667" builtinId="31" customBuiltin="1"/>
    <cellStyle name="40% - 강조색1 10" xfId="668" xr:uid="{00000000-0005-0000-0000-00009B020000}"/>
    <cellStyle name="40% - 강조색1 11" xfId="669" xr:uid="{00000000-0005-0000-0000-00009C020000}"/>
    <cellStyle name="40% - 강조색1 12" xfId="670" xr:uid="{00000000-0005-0000-0000-00009D020000}"/>
    <cellStyle name="40% - 강조색1 13" xfId="671" xr:uid="{00000000-0005-0000-0000-00009E020000}"/>
    <cellStyle name="40% - 강조색1 14" xfId="672" xr:uid="{00000000-0005-0000-0000-00009F020000}"/>
    <cellStyle name="40% - 강조색1 15" xfId="673" xr:uid="{00000000-0005-0000-0000-0000A0020000}"/>
    <cellStyle name="40% - 강조색1 16" xfId="674" xr:uid="{00000000-0005-0000-0000-0000A1020000}"/>
    <cellStyle name="40% - 강조색1 17" xfId="675" xr:uid="{00000000-0005-0000-0000-0000A2020000}"/>
    <cellStyle name="40% - 강조색1 18" xfId="676" xr:uid="{00000000-0005-0000-0000-0000A3020000}"/>
    <cellStyle name="40% - 강조색1 19" xfId="677" xr:uid="{00000000-0005-0000-0000-0000A4020000}"/>
    <cellStyle name="40% - 강조색1 2" xfId="678" xr:uid="{00000000-0005-0000-0000-0000A5020000}"/>
    <cellStyle name="40% - 강조색1 2 2" xfId="679" xr:uid="{00000000-0005-0000-0000-0000A6020000}"/>
    <cellStyle name="40% - 강조색1 2 3" xfId="680" xr:uid="{00000000-0005-0000-0000-0000A7020000}"/>
    <cellStyle name="40% - 강조색1 20" xfId="681" xr:uid="{00000000-0005-0000-0000-0000A8020000}"/>
    <cellStyle name="40% - 강조색1 21" xfId="682" xr:uid="{00000000-0005-0000-0000-0000A9020000}"/>
    <cellStyle name="40% - 강조색1 22" xfId="683" xr:uid="{00000000-0005-0000-0000-0000AA020000}"/>
    <cellStyle name="40% - 강조색1 23" xfId="684" xr:uid="{00000000-0005-0000-0000-0000AB020000}"/>
    <cellStyle name="40% - 강조색1 24" xfId="685" xr:uid="{00000000-0005-0000-0000-0000AC020000}"/>
    <cellStyle name="40% - 강조색1 25" xfId="686" xr:uid="{00000000-0005-0000-0000-0000AD020000}"/>
    <cellStyle name="40% - 강조색1 26" xfId="687" xr:uid="{00000000-0005-0000-0000-0000AE020000}"/>
    <cellStyle name="40% - 강조색1 27" xfId="688" xr:uid="{00000000-0005-0000-0000-0000AF020000}"/>
    <cellStyle name="40% - 강조색1 3" xfId="689" xr:uid="{00000000-0005-0000-0000-0000B0020000}"/>
    <cellStyle name="40% - 강조색1 3 2" xfId="690" xr:uid="{00000000-0005-0000-0000-0000B1020000}"/>
    <cellStyle name="40% - 강조색1 3 3" xfId="691" xr:uid="{00000000-0005-0000-0000-0000B2020000}"/>
    <cellStyle name="40% - 강조색1 3 4" xfId="692" xr:uid="{00000000-0005-0000-0000-0000B3020000}"/>
    <cellStyle name="40% - 강조색1 3 5" xfId="693" xr:uid="{00000000-0005-0000-0000-0000B4020000}"/>
    <cellStyle name="40% - 강조색1 3 6" xfId="694" xr:uid="{00000000-0005-0000-0000-0000B5020000}"/>
    <cellStyle name="40% - 강조색1 3 7" xfId="695" xr:uid="{00000000-0005-0000-0000-0000B6020000}"/>
    <cellStyle name="40% - 강조색1 4" xfId="696" xr:uid="{00000000-0005-0000-0000-0000B7020000}"/>
    <cellStyle name="40% - 강조색1 4 2" xfId="697" xr:uid="{00000000-0005-0000-0000-0000B8020000}"/>
    <cellStyle name="40% - 강조색1 4 3" xfId="698" xr:uid="{00000000-0005-0000-0000-0000B9020000}"/>
    <cellStyle name="40% - 강조색1 4 4" xfId="699" xr:uid="{00000000-0005-0000-0000-0000BA020000}"/>
    <cellStyle name="40% - 강조색1 5" xfId="700" xr:uid="{00000000-0005-0000-0000-0000BB020000}"/>
    <cellStyle name="40% - 강조색1 6" xfId="701" xr:uid="{00000000-0005-0000-0000-0000BC020000}"/>
    <cellStyle name="40% - 강조색1 7" xfId="702" xr:uid="{00000000-0005-0000-0000-0000BD020000}"/>
    <cellStyle name="40% - 강조색1 8" xfId="703" xr:uid="{00000000-0005-0000-0000-0000BE020000}"/>
    <cellStyle name="40% - 강조색1 9" xfId="704" xr:uid="{00000000-0005-0000-0000-0000BF020000}"/>
    <cellStyle name="40% - 강조색2" xfId="705" builtinId="35" customBuiltin="1"/>
    <cellStyle name="40% - 강조색2 10" xfId="706" xr:uid="{00000000-0005-0000-0000-0000C1020000}"/>
    <cellStyle name="40% - 강조색2 11" xfId="707" xr:uid="{00000000-0005-0000-0000-0000C2020000}"/>
    <cellStyle name="40% - 강조색2 12" xfId="708" xr:uid="{00000000-0005-0000-0000-0000C3020000}"/>
    <cellStyle name="40% - 강조색2 13" xfId="709" xr:uid="{00000000-0005-0000-0000-0000C4020000}"/>
    <cellStyle name="40% - 강조색2 14" xfId="710" xr:uid="{00000000-0005-0000-0000-0000C5020000}"/>
    <cellStyle name="40% - 강조색2 15" xfId="711" xr:uid="{00000000-0005-0000-0000-0000C6020000}"/>
    <cellStyle name="40% - 강조색2 16" xfId="712" xr:uid="{00000000-0005-0000-0000-0000C7020000}"/>
    <cellStyle name="40% - 강조색2 17" xfId="713" xr:uid="{00000000-0005-0000-0000-0000C8020000}"/>
    <cellStyle name="40% - 강조색2 18" xfId="714" xr:uid="{00000000-0005-0000-0000-0000C9020000}"/>
    <cellStyle name="40% - 강조색2 19" xfId="715" xr:uid="{00000000-0005-0000-0000-0000CA020000}"/>
    <cellStyle name="40% - 강조색2 2" xfId="716" xr:uid="{00000000-0005-0000-0000-0000CB020000}"/>
    <cellStyle name="40% - 강조색2 2 2" xfId="717" xr:uid="{00000000-0005-0000-0000-0000CC020000}"/>
    <cellStyle name="40% - 강조색2 2 3" xfId="718" xr:uid="{00000000-0005-0000-0000-0000CD020000}"/>
    <cellStyle name="40% - 강조색2 20" xfId="719" xr:uid="{00000000-0005-0000-0000-0000CE020000}"/>
    <cellStyle name="40% - 강조색2 21" xfId="720" xr:uid="{00000000-0005-0000-0000-0000CF020000}"/>
    <cellStyle name="40% - 강조색2 22" xfId="721" xr:uid="{00000000-0005-0000-0000-0000D0020000}"/>
    <cellStyle name="40% - 강조색2 23" xfId="722" xr:uid="{00000000-0005-0000-0000-0000D1020000}"/>
    <cellStyle name="40% - 강조색2 24" xfId="723" xr:uid="{00000000-0005-0000-0000-0000D2020000}"/>
    <cellStyle name="40% - 강조색2 25" xfId="724" xr:uid="{00000000-0005-0000-0000-0000D3020000}"/>
    <cellStyle name="40% - 강조색2 26" xfId="725" xr:uid="{00000000-0005-0000-0000-0000D4020000}"/>
    <cellStyle name="40% - 강조색2 27" xfId="726" xr:uid="{00000000-0005-0000-0000-0000D5020000}"/>
    <cellStyle name="40% - 강조색2 3" xfId="727" xr:uid="{00000000-0005-0000-0000-0000D6020000}"/>
    <cellStyle name="40% - 강조색2 3 2" xfId="728" xr:uid="{00000000-0005-0000-0000-0000D7020000}"/>
    <cellStyle name="40% - 강조색2 3 3" xfId="729" xr:uid="{00000000-0005-0000-0000-0000D8020000}"/>
    <cellStyle name="40% - 강조색2 3 4" xfId="730" xr:uid="{00000000-0005-0000-0000-0000D9020000}"/>
    <cellStyle name="40% - 강조색2 3 5" xfId="731" xr:uid="{00000000-0005-0000-0000-0000DA020000}"/>
    <cellStyle name="40% - 강조색2 3 6" xfId="732" xr:uid="{00000000-0005-0000-0000-0000DB020000}"/>
    <cellStyle name="40% - 강조색2 3 7" xfId="733" xr:uid="{00000000-0005-0000-0000-0000DC020000}"/>
    <cellStyle name="40% - 강조색2 4" xfId="734" xr:uid="{00000000-0005-0000-0000-0000DD020000}"/>
    <cellStyle name="40% - 강조색2 4 2" xfId="735" xr:uid="{00000000-0005-0000-0000-0000DE020000}"/>
    <cellStyle name="40% - 강조색2 4 3" xfId="736" xr:uid="{00000000-0005-0000-0000-0000DF020000}"/>
    <cellStyle name="40% - 강조색2 4 4" xfId="737" xr:uid="{00000000-0005-0000-0000-0000E0020000}"/>
    <cellStyle name="40% - 강조색2 5" xfId="738" xr:uid="{00000000-0005-0000-0000-0000E1020000}"/>
    <cellStyle name="40% - 강조색2 6" xfId="739" xr:uid="{00000000-0005-0000-0000-0000E2020000}"/>
    <cellStyle name="40% - 강조색2 7" xfId="740" xr:uid="{00000000-0005-0000-0000-0000E3020000}"/>
    <cellStyle name="40% - 강조색2 8" xfId="741" xr:uid="{00000000-0005-0000-0000-0000E4020000}"/>
    <cellStyle name="40% - 강조색2 9" xfId="742" xr:uid="{00000000-0005-0000-0000-0000E5020000}"/>
    <cellStyle name="40% - 강조색3" xfId="743" builtinId="39" customBuiltin="1"/>
    <cellStyle name="40% - 강조색3 10" xfId="744" xr:uid="{00000000-0005-0000-0000-0000E7020000}"/>
    <cellStyle name="40% - 강조색3 11" xfId="745" xr:uid="{00000000-0005-0000-0000-0000E8020000}"/>
    <cellStyle name="40% - 강조색3 12" xfId="746" xr:uid="{00000000-0005-0000-0000-0000E9020000}"/>
    <cellStyle name="40% - 강조색3 13" xfId="747" xr:uid="{00000000-0005-0000-0000-0000EA020000}"/>
    <cellStyle name="40% - 강조색3 14" xfId="748" xr:uid="{00000000-0005-0000-0000-0000EB020000}"/>
    <cellStyle name="40% - 강조색3 15" xfId="749" xr:uid="{00000000-0005-0000-0000-0000EC020000}"/>
    <cellStyle name="40% - 강조색3 16" xfId="750" xr:uid="{00000000-0005-0000-0000-0000ED020000}"/>
    <cellStyle name="40% - 강조색3 17" xfId="751" xr:uid="{00000000-0005-0000-0000-0000EE020000}"/>
    <cellStyle name="40% - 강조색3 18" xfId="752" xr:uid="{00000000-0005-0000-0000-0000EF020000}"/>
    <cellStyle name="40% - 강조색3 19" xfId="753" xr:uid="{00000000-0005-0000-0000-0000F0020000}"/>
    <cellStyle name="40% - 강조색3 2" xfId="754" xr:uid="{00000000-0005-0000-0000-0000F1020000}"/>
    <cellStyle name="40% - 강조색3 2 2" xfId="755" xr:uid="{00000000-0005-0000-0000-0000F2020000}"/>
    <cellStyle name="40% - 강조색3 2 3" xfId="756" xr:uid="{00000000-0005-0000-0000-0000F3020000}"/>
    <cellStyle name="40% - 강조색3 20" xfId="757" xr:uid="{00000000-0005-0000-0000-0000F4020000}"/>
    <cellStyle name="40% - 강조색3 21" xfId="758" xr:uid="{00000000-0005-0000-0000-0000F5020000}"/>
    <cellStyle name="40% - 강조색3 22" xfId="759" xr:uid="{00000000-0005-0000-0000-0000F6020000}"/>
    <cellStyle name="40% - 강조색3 23" xfId="760" xr:uid="{00000000-0005-0000-0000-0000F7020000}"/>
    <cellStyle name="40% - 강조색3 24" xfId="761" xr:uid="{00000000-0005-0000-0000-0000F8020000}"/>
    <cellStyle name="40% - 강조색3 25" xfId="762" xr:uid="{00000000-0005-0000-0000-0000F9020000}"/>
    <cellStyle name="40% - 강조색3 26" xfId="763" xr:uid="{00000000-0005-0000-0000-0000FA020000}"/>
    <cellStyle name="40% - 강조색3 27" xfId="764" xr:uid="{00000000-0005-0000-0000-0000FB020000}"/>
    <cellStyle name="40% - 강조색3 3" xfId="765" xr:uid="{00000000-0005-0000-0000-0000FC020000}"/>
    <cellStyle name="40% - 강조색3 3 2" xfId="766" xr:uid="{00000000-0005-0000-0000-0000FD020000}"/>
    <cellStyle name="40% - 강조색3 3 3" xfId="767" xr:uid="{00000000-0005-0000-0000-0000FE020000}"/>
    <cellStyle name="40% - 강조색3 3 4" xfId="768" xr:uid="{00000000-0005-0000-0000-0000FF020000}"/>
    <cellStyle name="40% - 강조색3 3 5" xfId="769" xr:uid="{00000000-0005-0000-0000-000000030000}"/>
    <cellStyle name="40% - 강조색3 3 6" xfId="770" xr:uid="{00000000-0005-0000-0000-000001030000}"/>
    <cellStyle name="40% - 강조색3 3 7" xfId="771" xr:uid="{00000000-0005-0000-0000-000002030000}"/>
    <cellStyle name="40% - 강조색3 4" xfId="772" xr:uid="{00000000-0005-0000-0000-000003030000}"/>
    <cellStyle name="40% - 강조색3 4 2" xfId="773" xr:uid="{00000000-0005-0000-0000-000004030000}"/>
    <cellStyle name="40% - 강조색3 4 3" xfId="774" xr:uid="{00000000-0005-0000-0000-000005030000}"/>
    <cellStyle name="40% - 강조색3 4 4" xfId="775" xr:uid="{00000000-0005-0000-0000-000006030000}"/>
    <cellStyle name="40% - 강조색3 5" xfId="776" xr:uid="{00000000-0005-0000-0000-000007030000}"/>
    <cellStyle name="40% - 강조색3 6" xfId="777" xr:uid="{00000000-0005-0000-0000-000008030000}"/>
    <cellStyle name="40% - 강조색3 7" xfId="778" xr:uid="{00000000-0005-0000-0000-000009030000}"/>
    <cellStyle name="40% - 강조색3 8" xfId="779" xr:uid="{00000000-0005-0000-0000-00000A030000}"/>
    <cellStyle name="40% - 강조색3 9" xfId="780" xr:uid="{00000000-0005-0000-0000-00000B030000}"/>
    <cellStyle name="40% - 강조색4" xfId="781" builtinId="43" customBuiltin="1"/>
    <cellStyle name="40% - 강조색4 10" xfId="782" xr:uid="{00000000-0005-0000-0000-00000D030000}"/>
    <cellStyle name="40% - 강조색4 11" xfId="783" xr:uid="{00000000-0005-0000-0000-00000E030000}"/>
    <cellStyle name="40% - 강조색4 12" xfId="784" xr:uid="{00000000-0005-0000-0000-00000F030000}"/>
    <cellStyle name="40% - 강조색4 13" xfId="785" xr:uid="{00000000-0005-0000-0000-000010030000}"/>
    <cellStyle name="40% - 강조색4 14" xfId="786" xr:uid="{00000000-0005-0000-0000-000011030000}"/>
    <cellStyle name="40% - 강조색4 15" xfId="787" xr:uid="{00000000-0005-0000-0000-000012030000}"/>
    <cellStyle name="40% - 강조색4 16" xfId="788" xr:uid="{00000000-0005-0000-0000-000013030000}"/>
    <cellStyle name="40% - 강조색4 17" xfId="789" xr:uid="{00000000-0005-0000-0000-000014030000}"/>
    <cellStyle name="40% - 강조색4 18" xfId="790" xr:uid="{00000000-0005-0000-0000-000015030000}"/>
    <cellStyle name="40% - 강조색4 19" xfId="791" xr:uid="{00000000-0005-0000-0000-000016030000}"/>
    <cellStyle name="40% - 강조색4 2" xfId="792" xr:uid="{00000000-0005-0000-0000-000017030000}"/>
    <cellStyle name="40% - 강조색4 2 2" xfId="793" xr:uid="{00000000-0005-0000-0000-000018030000}"/>
    <cellStyle name="40% - 강조색4 2 3" xfId="794" xr:uid="{00000000-0005-0000-0000-000019030000}"/>
    <cellStyle name="40% - 강조색4 20" xfId="795" xr:uid="{00000000-0005-0000-0000-00001A030000}"/>
    <cellStyle name="40% - 강조색4 21" xfId="796" xr:uid="{00000000-0005-0000-0000-00001B030000}"/>
    <cellStyle name="40% - 강조색4 22" xfId="797" xr:uid="{00000000-0005-0000-0000-00001C030000}"/>
    <cellStyle name="40% - 강조색4 23" xfId="798" xr:uid="{00000000-0005-0000-0000-00001D030000}"/>
    <cellStyle name="40% - 강조색4 24" xfId="799" xr:uid="{00000000-0005-0000-0000-00001E030000}"/>
    <cellStyle name="40% - 강조색4 25" xfId="800" xr:uid="{00000000-0005-0000-0000-00001F030000}"/>
    <cellStyle name="40% - 강조색4 26" xfId="801" xr:uid="{00000000-0005-0000-0000-000020030000}"/>
    <cellStyle name="40% - 강조색4 27" xfId="802" xr:uid="{00000000-0005-0000-0000-000021030000}"/>
    <cellStyle name="40% - 강조색4 3" xfId="803" xr:uid="{00000000-0005-0000-0000-000022030000}"/>
    <cellStyle name="40% - 강조색4 3 2" xfId="804" xr:uid="{00000000-0005-0000-0000-000023030000}"/>
    <cellStyle name="40% - 강조색4 3 3" xfId="805" xr:uid="{00000000-0005-0000-0000-000024030000}"/>
    <cellStyle name="40% - 강조색4 3 4" xfId="806" xr:uid="{00000000-0005-0000-0000-000025030000}"/>
    <cellStyle name="40% - 강조색4 3 5" xfId="807" xr:uid="{00000000-0005-0000-0000-000026030000}"/>
    <cellStyle name="40% - 강조색4 3 6" xfId="808" xr:uid="{00000000-0005-0000-0000-000027030000}"/>
    <cellStyle name="40% - 강조색4 3 7" xfId="809" xr:uid="{00000000-0005-0000-0000-000028030000}"/>
    <cellStyle name="40% - 강조색4 4" xfId="810" xr:uid="{00000000-0005-0000-0000-000029030000}"/>
    <cellStyle name="40% - 강조색4 4 2" xfId="811" xr:uid="{00000000-0005-0000-0000-00002A030000}"/>
    <cellStyle name="40% - 강조색4 4 3" xfId="812" xr:uid="{00000000-0005-0000-0000-00002B030000}"/>
    <cellStyle name="40% - 강조색4 4 4" xfId="813" xr:uid="{00000000-0005-0000-0000-00002C030000}"/>
    <cellStyle name="40% - 강조색4 5" xfId="814" xr:uid="{00000000-0005-0000-0000-00002D030000}"/>
    <cellStyle name="40% - 강조색4 6" xfId="815" xr:uid="{00000000-0005-0000-0000-00002E030000}"/>
    <cellStyle name="40% - 강조색4 7" xfId="816" xr:uid="{00000000-0005-0000-0000-00002F030000}"/>
    <cellStyle name="40% - 강조색4 8" xfId="817" xr:uid="{00000000-0005-0000-0000-000030030000}"/>
    <cellStyle name="40% - 강조색4 9" xfId="818" xr:uid="{00000000-0005-0000-0000-000031030000}"/>
    <cellStyle name="40% - 강조색5" xfId="819" builtinId="47" customBuiltin="1"/>
    <cellStyle name="40% - 강조색5 10" xfId="820" xr:uid="{00000000-0005-0000-0000-000033030000}"/>
    <cellStyle name="40% - 강조색5 11" xfId="821" xr:uid="{00000000-0005-0000-0000-000034030000}"/>
    <cellStyle name="40% - 강조색5 12" xfId="822" xr:uid="{00000000-0005-0000-0000-000035030000}"/>
    <cellStyle name="40% - 강조색5 13" xfId="823" xr:uid="{00000000-0005-0000-0000-000036030000}"/>
    <cellStyle name="40% - 강조색5 14" xfId="824" xr:uid="{00000000-0005-0000-0000-000037030000}"/>
    <cellStyle name="40% - 강조색5 15" xfId="825" xr:uid="{00000000-0005-0000-0000-000038030000}"/>
    <cellStyle name="40% - 강조색5 16" xfId="826" xr:uid="{00000000-0005-0000-0000-000039030000}"/>
    <cellStyle name="40% - 강조색5 17" xfId="827" xr:uid="{00000000-0005-0000-0000-00003A030000}"/>
    <cellStyle name="40% - 강조색5 18" xfId="828" xr:uid="{00000000-0005-0000-0000-00003B030000}"/>
    <cellStyle name="40% - 강조색5 19" xfId="829" xr:uid="{00000000-0005-0000-0000-00003C030000}"/>
    <cellStyle name="40% - 강조색5 2" xfId="830" xr:uid="{00000000-0005-0000-0000-00003D030000}"/>
    <cellStyle name="40% - 강조색5 2 2" xfId="831" xr:uid="{00000000-0005-0000-0000-00003E030000}"/>
    <cellStyle name="40% - 강조색5 2 3" xfId="832" xr:uid="{00000000-0005-0000-0000-00003F030000}"/>
    <cellStyle name="40% - 강조색5 20" xfId="833" xr:uid="{00000000-0005-0000-0000-000040030000}"/>
    <cellStyle name="40% - 강조색5 21" xfId="834" xr:uid="{00000000-0005-0000-0000-000041030000}"/>
    <cellStyle name="40% - 강조색5 22" xfId="835" xr:uid="{00000000-0005-0000-0000-000042030000}"/>
    <cellStyle name="40% - 강조색5 23" xfId="836" xr:uid="{00000000-0005-0000-0000-000043030000}"/>
    <cellStyle name="40% - 강조색5 24" xfId="837" xr:uid="{00000000-0005-0000-0000-000044030000}"/>
    <cellStyle name="40% - 강조색5 25" xfId="838" xr:uid="{00000000-0005-0000-0000-000045030000}"/>
    <cellStyle name="40% - 강조색5 26" xfId="839" xr:uid="{00000000-0005-0000-0000-000046030000}"/>
    <cellStyle name="40% - 강조색5 27" xfId="840" xr:uid="{00000000-0005-0000-0000-000047030000}"/>
    <cellStyle name="40% - 강조색5 3" xfId="841" xr:uid="{00000000-0005-0000-0000-000048030000}"/>
    <cellStyle name="40% - 강조색5 3 2" xfId="842" xr:uid="{00000000-0005-0000-0000-000049030000}"/>
    <cellStyle name="40% - 강조색5 3 3" xfId="843" xr:uid="{00000000-0005-0000-0000-00004A030000}"/>
    <cellStyle name="40% - 강조색5 3 4" xfId="844" xr:uid="{00000000-0005-0000-0000-00004B030000}"/>
    <cellStyle name="40% - 강조색5 3 5" xfId="845" xr:uid="{00000000-0005-0000-0000-00004C030000}"/>
    <cellStyle name="40% - 강조색5 3 6" xfId="846" xr:uid="{00000000-0005-0000-0000-00004D030000}"/>
    <cellStyle name="40% - 강조색5 3 7" xfId="847" xr:uid="{00000000-0005-0000-0000-00004E030000}"/>
    <cellStyle name="40% - 강조색5 4" xfId="848" xr:uid="{00000000-0005-0000-0000-00004F030000}"/>
    <cellStyle name="40% - 강조색5 4 2" xfId="849" xr:uid="{00000000-0005-0000-0000-000050030000}"/>
    <cellStyle name="40% - 강조색5 4 3" xfId="850" xr:uid="{00000000-0005-0000-0000-000051030000}"/>
    <cellStyle name="40% - 강조색5 4 4" xfId="851" xr:uid="{00000000-0005-0000-0000-000052030000}"/>
    <cellStyle name="40% - 강조색5 5" xfId="852" xr:uid="{00000000-0005-0000-0000-000053030000}"/>
    <cellStyle name="40% - 강조색5 6" xfId="853" xr:uid="{00000000-0005-0000-0000-000054030000}"/>
    <cellStyle name="40% - 강조색5 7" xfId="854" xr:uid="{00000000-0005-0000-0000-000055030000}"/>
    <cellStyle name="40% - 강조색5 8" xfId="855" xr:uid="{00000000-0005-0000-0000-000056030000}"/>
    <cellStyle name="40% - 강조색5 9" xfId="856" xr:uid="{00000000-0005-0000-0000-000057030000}"/>
    <cellStyle name="40% - 강조색6" xfId="857" builtinId="51" customBuiltin="1"/>
    <cellStyle name="40% - 강조색6 10" xfId="858" xr:uid="{00000000-0005-0000-0000-000059030000}"/>
    <cellStyle name="40% - 강조색6 11" xfId="859" xr:uid="{00000000-0005-0000-0000-00005A030000}"/>
    <cellStyle name="40% - 강조색6 12" xfId="860" xr:uid="{00000000-0005-0000-0000-00005B030000}"/>
    <cellStyle name="40% - 강조색6 13" xfId="861" xr:uid="{00000000-0005-0000-0000-00005C030000}"/>
    <cellStyle name="40% - 강조색6 14" xfId="862" xr:uid="{00000000-0005-0000-0000-00005D030000}"/>
    <cellStyle name="40% - 강조색6 15" xfId="863" xr:uid="{00000000-0005-0000-0000-00005E030000}"/>
    <cellStyle name="40% - 강조색6 16" xfId="864" xr:uid="{00000000-0005-0000-0000-00005F030000}"/>
    <cellStyle name="40% - 강조색6 17" xfId="865" xr:uid="{00000000-0005-0000-0000-000060030000}"/>
    <cellStyle name="40% - 강조색6 18" xfId="866" xr:uid="{00000000-0005-0000-0000-000061030000}"/>
    <cellStyle name="40% - 강조색6 19" xfId="867" xr:uid="{00000000-0005-0000-0000-000062030000}"/>
    <cellStyle name="40% - 강조색6 2" xfId="868" xr:uid="{00000000-0005-0000-0000-000063030000}"/>
    <cellStyle name="40% - 강조색6 2 2" xfId="869" xr:uid="{00000000-0005-0000-0000-000064030000}"/>
    <cellStyle name="40% - 강조색6 2 3" xfId="870" xr:uid="{00000000-0005-0000-0000-000065030000}"/>
    <cellStyle name="40% - 강조색6 20" xfId="871" xr:uid="{00000000-0005-0000-0000-000066030000}"/>
    <cellStyle name="40% - 강조색6 21" xfId="872" xr:uid="{00000000-0005-0000-0000-000067030000}"/>
    <cellStyle name="40% - 강조색6 22" xfId="873" xr:uid="{00000000-0005-0000-0000-000068030000}"/>
    <cellStyle name="40% - 강조색6 23" xfId="874" xr:uid="{00000000-0005-0000-0000-000069030000}"/>
    <cellStyle name="40% - 강조색6 24" xfId="875" xr:uid="{00000000-0005-0000-0000-00006A030000}"/>
    <cellStyle name="40% - 강조색6 25" xfId="876" xr:uid="{00000000-0005-0000-0000-00006B030000}"/>
    <cellStyle name="40% - 강조색6 26" xfId="877" xr:uid="{00000000-0005-0000-0000-00006C030000}"/>
    <cellStyle name="40% - 강조색6 27" xfId="878" xr:uid="{00000000-0005-0000-0000-00006D030000}"/>
    <cellStyle name="40% - 강조색6 3" xfId="879" xr:uid="{00000000-0005-0000-0000-00006E030000}"/>
    <cellStyle name="40% - 강조색6 3 2" xfId="880" xr:uid="{00000000-0005-0000-0000-00006F030000}"/>
    <cellStyle name="40% - 강조색6 3 3" xfId="881" xr:uid="{00000000-0005-0000-0000-000070030000}"/>
    <cellStyle name="40% - 강조색6 3 4" xfId="882" xr:uid="{00000000-0005-0000-0000-000071030000}"/>
    <cellStyle name="40% - 강조색6 3 5" xfId="883" xr:uid="{00000000-0005-0000-0000-000072030000}"/>
    <cellStyle name="40% - 강조색6 3 6" xfId="884" xr:uid="{00000000-0005-0000-0000-000073030000}"/>
    <cellStyle name="40% - 강조색6 3 7" xfId="885" xr:uid="{00000000-0005-0000-0000-000074030000}"/>
    <cellStyle name="40% - 강조색6 4" xfId="886" xr:uid="{00000000-0005-0000-0000-000075030000}"/>
    <cellStyle name="40% - 강조색6 4 2" xfId="887" xr:uid="{00000000-0005-0000-0000-000076030000}"/>
    <cellStyle name="40% - 강조색6 4 3" xfId="888" xr:uid="{00000000-0005-0000-0000-000077030000}"/>
    <cellStyle name="40% - 강조색6 4 4" xfId="889" xr:uid="{00000000-0005-0000-0000-000078030000}"/>
    <cellStyle name="40% - 강조색6 5" xfId="890" xr:uid="{00000000-0005-0000-0000-000079030000}"/>
    <cellStyle name="40% - 강조색6 6" xfId="891" xr:uid="{00000000-0005-0000-0000-00007A030000}"/>
    <cellStyle name="40% - 강조색6 7" xfId="892" xr:uid="{00000000-0005-0000-0000-00007B030000}"/>
    <cellStyle name="40% - 강조색6 8" xfId="893" xr:uid="{00000000-0005-0000-0000-00007C030000}"/>
    <cellStyle name="40% - 강조색6 9" xfId="894" xr:uid="{00000000-0005-0000-0000-00007D030000}"/>
    <cellStyle name="60% - 강조색1" xfId="895" builtinId="32" customBuiltin="1"/>
    <cellStyle name="60% - 강조색1 10" xfId="896" xr:uid="{00000000-0005-0000-0000-00007F030000}"/>
    <cellStyle name="60% - 강조색1 11" xfId="897" xr:uid="{00000000-0005-0000-0000-000080030000}"/>
    <cellStyle name="60% - 강조색1 12" xfId="898" xr:uid="{00000000-0005-0000-0000-000081030000}"/>
    <cellStyle name="60% - 강조색1 13" xfId="899" xr:uid="{00000000-0005-0000-0000-000082030000}"/>
    <cellStyle name="60% - 강조색1 14" xfId="900" xr:uid="{00000000-0005-0000-0000-000083030000}"/>
    <cellStyle name="60% - 강조색1 15" xfId="901" xr:uid="{00000000-0005-0000-0000-000084030000}"/>
    <cellStyle name="60% - 강조색1 16" xfId="902" xr:uid="{00000000-0005-0000-0000-000085030000}"/>
    <cellStyle name="60% - 강조색1 17" xfId="903" xr:uid="{00000000-0005-0000-0000-000086030000}"/>
    <cellStyle name="60% - 강조색1 18" xfId="904" xr:uid="{00000000-0005-0000-0000-000087030000}"/>
    <cellStyle name="60% - 강조색1 19" xfId="905" xr:uid="{00000000-0005-0000-0000-000088030000}"/>
    <cellStyle name="60% - 강조색1 2" xfId="906" xr:uid="{00000000-0005-0000-0000-000089030000}"/>
    <cellStyle name="60% - 강조색1 2 2" xfId="907" xr:uid="{00000000-0005-0000-0000-00008A030000}"/>
    <cellStyle name="60% - 강조색1 2 3" xfId="908" xr:uid="{00000000-0005-0000-0000-00008B030000}"/>
    <cellStyle name="60% - 강조색1 20" xfId="909" xr:uid="{00000000-0005-0000-0000-00008C030000}"/>
    <cellStyle name="60% - 강조색1 21" xfId="910" xr:uid="{00000000-0005-0000-0000-00008D030000}"/>
    <cellStyle name="60% - 강조색1 22" xfId="911" xr:uid="{00000000-0005-0000-0000-00008E030000}"/>
    <cellStyle name="60% - 강조색1 23" xfId="912" xr:uid="{00000000-0005-0000-0000-00008F030000}"/>
    <cellStyle name="60% - 강조색1 24" xfId="913" xr:uid="{00000000-0005-0000-0000-000090030000}"/>
    <cellStyle name="60% - 강조색1 25" xfId="914" xr:uid="{00000000-0005-0000-0000-000091030000}"/>
    <cellStyle name="60% - 강조색1 26" xfId="915" xr:uid="{00000000-0005-0000-0000-000092030000}"/>
    <cellStyle name="60% - 강조색1 27" xfId="916" xr:uid="{00000000-0005-0000-0000-000093030000}"/>
    <cellStyle name="60% - 강조색1 3" xfId="917" xr:uid="{00000000-0005-0000-0000-000094030000}"/>
    <cellStyle name="60% - 강조색1 3 2" xfId="918" xr:uid="{00000000-0005-0000-0000-000095030000}"/>
    <cellStyle name="60% - 강조색1 3 3" xfId="919" xr:uid="{00000000-0005-0000-0000-000096030000}"/>
    <cellStyle name="60% - 강조색1 3 4" xfId="920" xr:uid="{00000000-0005-0000-0000-000097030000}"/>
    <cellStyle name="60% - 강조색1 3 5" xfId="921" xr:uid="{00000000-0005-0000-0000-000098030000}"/>
    <cellStyle name="60% - 강조색1 3 6" xfId="922" xr:uid="{00000000-0005-0000-0000-000099030000}"/>
    <cellStyle name="60% - 강조색1 3 7" xfId="923" xr:uid="{00000000-0005-0000-0000-00009A030000}"/>
    <cellStyle name="60% - 강조색1 4" xfId="924" xr:uid="{00000000-0005-0000-0000-00009B030000}"/>
    <cellStyle name="60% - 강조색1 4 2" xfId="925" xr:uid="{00000000-0005-0000-0000-00009C030000}"/>
    <cellStyle name="60% - 강조색1 4 3" xfId="926" xr:uid="{00000000-0005-0000-0000-00009D030000}"/>
    <cellStyle name="60% - 강조색1 4 4" xfId="927" xr:uid="{00000000-0005-0000-0000-00009E030000}"/>
    <cellStyle name="60% - 강조색1 5" xfId="928" xr:uid="{00000000-0005-0000-0000-00009F030000}"/>
    <cellStyle name="60% - 강조색1 6" xfId="929" xr:uid="{00000000-0005-0000-0000-0000A0030000}"/>
    <cellStyle name="60% - 강조색1 7" xfId="930" xr:uid="{00000000-0005-0000-0000-0000A1030000}"/>
    <cellStyle name="60% - 강조색1 8" xfId="931" xr:uid="{00000000-0005-0000-0000-0000A2030000}"/>
    <cellStyle name="60% - 강조색1 9" xfId="932" xr:uid="{00000000-0005-0000-0000-0000A3030000}"/>
    <cellStyle name="60% - 강조색2" xfId="933" builtinId="36" customBuiltin="1"/>
    <cellStyle name="60% - 강조색2 10" xfId="934" xr:uid="{00000000-0005-0000-0000-0000A5030000}"/>
    <cellStyle name="60% - 강조색2 11" xfId="935" xr:uid="{00000000-0005-0000-0000-0000A6030000}"/>
    <cellStyle name="60% - 강조색2 12" xfId="936" xr:uid="{00000000-0005-0000-0000-0000A7030000}"/>
    <cellStyle name="60% - 강조색2 13" xfId="937" xr:uid="{00000000-0005-0000-0000-0000A8030000}"/>
    <cellStyle name="60% - 강조색2 14" xfId="938" xr:uid="{00000000-0005-0000-0000-0000A9030000}"/>
    <cellStyle name="60% - 강조색2 15" xfId="939" xr:uid="{00000000-0005-0000-0000-0000AA030000}"/>
    <cellStyle name="60% - 강조색2 16" xfId="940" xr:uid="{00000000-0005-0000-0000-0000AB030000}"/>
    <cellStyle name="60% - 강조색2 17" xfId="941" xr:uid="{00000000-0005-0000-0000-0000AC030000}"/>
    <cellStyle name="60% - 강조색2 18" xfId="942" xr:uid="{00000000-0005-0000-0000-0000AD030000}"/>
    <cellStyle name="60% - 강조색2 19" xfId="943" xr:uid="{00000000-0005-0000-0000-0000AE030000}"/>
    <cellStyle name="60% - 강조색2 2" xfId="944" xr:uid="{00000000-0005-0000-0000-0000AF030000}"/>
    <cellStyle name="60% - 강조색2 2 2" xfId="945" xr:uid="{00000000-0005-0000-0000-0000B0030000}"/>
    <cellStyle name="60% - 강조색2 2 3" xfId="946" xr:uid="{00000000-0005-0000-0000-0000B1030000}"/>
    <cellStyle name="60% - 강조색2 20" xfId="947" xr:uid="{00000000-0005-0000-0000-0000B2030000}"/>
    <cellStyle name="60% - 강조색2 21" xfId="948" xr:uid="{00000000-0005-0000-0000-0000B3030000}"/>
    <cellStyle name="60% - 강조색2 22" xfId="949" xr:uid="{00000000-0005-0000-0000-0000B4030000}"/>
    <cellStyle name="60% - 강조색2 23" xfId="950" xr:uid="{00000000-0005-0000-0000-0000B5030000}"/>
    <cellStyle name="60% - 강조색2 24" xfId="951" xr:uid="{00000000-0005-0000-0000-0000B6030000}"/>
    <cellStyle name="60% - 강조색2 25" xfId="952" xr:uid="{00000000-0005-0000-0000-0000B7030000}"/>
    <cellStyle name="60% - 강조색2 26" xfId="953" xr:uid="{00000000-0005-0000-0000-0000B8030000}"/>
    <cellStyle name="60% - 강조색2 27" xfId="954" xr:uid="{00000000-0005-0000-0000-0000B9030000}"/>
    <cellStyle name="60% - 강조색2 3" xfId="955" xr:uid="{00000000-0005-0000-0000-0000BA030000}"/>
    <cellStyle name="60% - 강조색2 3 2" xfId="956" xr:uid="{00000000-0005-0000-0000-0000BB030000}"/>
    <cellStyle name="60% - 강조색2 3 3" xfId="957" xr:uid="{00000000-0005-0000-0000-0000BC030000}"/>
    <cellStyle name="60% - 강조색2 3 4" xfId="958" xr:uid="{00000000-0005-0000-0000-0000BD030000}"/>
    <cellStyle name="60% - 강조색2 3 5" xfId="959" xr:uid="{00000000-0005-0000-0000-0000BE030000}"/>
    <cellStyle name="60% - 강조색2 3 6" xfId="960" xr:uid="{00000000-0005-0000-0000-0000BF030000}"/>
    <cellStyle name="60% - 강조색2 3 7" xfId="961" xr:uid="{00000000-0005-0000-0000-0000C0030000}"/>
    <cellStyle name="60% - 강조색2 4" xfId="962" xr:uid="{00000000-0005-0000-0000-0000C1030000}"/>
    <cellStyle name="60% - 강조색2 4 2" xfId="963" xr:uid="{00000000-0005-0000-0000-0000C2030000}"/>
    <cellStyle name="60% - 강조색2 4 3" xfId="964" xr:uid="{00000000-0005-0000-0000-0000C3030000}"/>
    <cellStyle name="60% - 강조색2 4 4" xfId="965" xr:uid="{00000000-0005-0000-0000-0000C4030000}"/>
    <cellStyle name="60% - 강조색2 5" xfId="966" xr:uid="{00000000-0005-0000-0000-0000C5030000}"/>
    <cellStyle name="60% - 강조색2 6" xfId="967" xr:uid="{00000000-0005-0000-0000-0000C6030000}"/>
    <cellStyle name="60% - 강조색2 7" xfId="968" xr:uid="{00000000-0005-0000-0000-0000C7030000}"/>
    <cellStyle name="60% - 강조색2 8" xfId="969" xr:uid="{00000000-0005-0000-0000-0000C8030000}"/>
    <cellStyle name="60% - 강조색2 9" xfId="970" xr:uid="{00000000-0005-0000-0000-0000C9030000}"/>
    <cellStyle name="60% - 강조색3" xfId="971" builtinId="40" customBuiltin="1"/>
    <cellStyle name="60% - 강조색3 10" xfId="972" xr:uid="{00000000-0005-0000-0000-0000CB030000}"/>
    <cellStyle name="60% - 강조색3 11" xfId="973" xr:uid="{00000000-0005-0000-0000-0000CC030000}"/>
    <cellStyle name="60% - 강조색3 12" xfId="974" xr:uid="{00000000-0005-0000-0000-0000CD030000}"/>
    <cellStyle name="60% - 강조색3 13" xfId="975" xr:uid="{00000000-0005-0000-0000-0000CE030000}"/>
    <cellStyle name="60% - 강조색3 14" xfId="976" xr:uid="{00000000-0005-0000-0000-0000CF030000}"/>
    <cellStyle name="60% - 강조색3 15" xfId="977" xr:uid="{00000000-0005-0000-0000-0000D0030000}"/>
    <cellStyle name="60% - 강조색3 16" xfId="978" xr:uid="{00000000-0005-0000-0000-0000D1030000}"/>
    <cellStyle name="60% - 강조색3 17" xfId="979" xr:uid="{00000000-0005-0000-0000-0000D2030000}"/>
    <cellStyle name="60% - 강조색3 18" xfId="980" xr:uid="{00000000-0005-0000-0000-0000D3030000}"/>
    <cellStyle name="60% - 강조색3 19" xfId="981" xr:uid="{00000000-0005-0000-0000-0000D4030000}"/>
    <cellStyle name="60% - 강조색3 2" xfId="982" xr:uid="{00000000-0005-0000-0000-0000D5030000}"/>
    <cellStyle name="60% - 강조색3 2 2" xfId="983" xr:uid="{00000000-0005-0000-0000-0000D6030000}"/>
    <cellStyle name="60% - 강조색3 2 3" xfId="984" xr:uid="{00000000-0005-0000-0000-0000D7030000}"/>
    <cellStyle name="60% - 강조색3 20" xfId="985" xr:uid="{00000000-0005-0000-0000-0000D8030000}"/>
    <cellStyle name="60% - 강조색3 21" xfId="986" xr:uid="{00000000-0005-0000-0000-0000D9030000}"/>
    <cellStyle name="60% - 강조색3 22" xfId="987" xr:uid="{00000000-0005-0000-0000-0000DA030000}"/>
    <cellStyle name="60% - 강조색3 23" xfId="988" xr:uid="{00000000-0005-0000-0000-0000DB030000}"/>
    <cellStyle name="60% - 강조색3 24" xfId="989" xr:uid="{00000000-0005-0000-0000-0000DC030000}"/>
    <cellStyle name="60% - 강조색3 25" xfId="990" xr:uid="{00000000-0005-0000-0000-0000DD030000}"/>
    <cellStyle name="60% - 강조색3 26" xfId="991" xr:uid="{00000000-0005-0000-0000-0000DE030000}"/>
    <cellStyle name="60% - 강조색3 27" xfId="992" xr:uid="{00000000-0005-0000-0000-0000DF030000}"/>
    <cellStyle name="60% - 강조색3 3" xfId="993" xr:uid="{00000000-0005-0000-0000-0000E0030000}"/>
    <cellStyle name="60% - 강조색3 3 2" xfId="994" xr:uid="{00000000-0005-0000-0000-0000E1030000}"/>
    <cellStyle name="60% - 강조색3 3 3" xfId="995" xr:uid="{00000000-0005-0000-0000-0000E2030000}"/>
    <cellStyle name="60% - 강조색3 3 4" xfId="996" xr:uid="{00000000-0005-0000-0000-0000E3030000}"/>
    <cellStyle name="60% - 강조색3 3 5" xfId="997" xr:uid="{00000000-0005-0000-0000-0000E4030000}"/>
    <cellStyle name="60% - 강조색3 3 6" xfId="998" xr:uid="{00000000-0005-0000-0000-0000E5030000}"/>
    <cellStyle name="60% - 강조색3 3 7" xfId="999" xr:uid="{00000000-0005-0000-0000-0000E6030000}"/>
    <cellStyle name="60% - 강조색3 4" xfId="1000" xr:uid="{00000000-0005-0000-0000-0000E7030000}"/>
    <cellStyle name="60% - 강조색3 4 2" xfId="1001" xr:uid="{00000000-0005-0000-0000-0000E8030000}"/>
    <cellStyle name="60% - 강조색3 4 3" xfId="1002" xr:uid="{00000000-0005-0000-0000-0000E9030000}"/>
    <cellStyle name="60% - 강조색3 4 4" xfId="1003" xr:uid="{00000000-0005-0000-0000-0000EA030000}"/>
    <cellStyle name="60% - 강조색3 5" xfId="1004" xr:uid="{00000000-0005-0000-0000-0000EB030000}"/>
    <cellStyle name="60% - 강조색3 6" xfId="1005" xr:uid="{00000000-0005-0000-0000-0000EC030000}"/>
    <cellStyle name="60% - 강조색3 7" xfId="1006" xr:uid="{00000000-0005-0000-0000-0000ED030000}"/>
    <cellStyle name="60% - 강조색3 8" xfId="1007" xr:uid="{00000000-0005-0000-0000-0000EE030000}"/>
    <cellStyle name="60% - 강조색3 9" xfId="1008" xr:uid="{00000000-0005-0000-0000-0000EF030000}"/>
    <cellStyle name="60% - 강조색4" xfId="1009" builtinId="44" customBuiltin="1"/>
    <cellStyle name="60% - 강조색4 10" xfId="1010" xr:uid="{00000000-0005-0000-0000-0000F1030000}"/>
    <cellStyle name="60% - 강조색4 11" xfId="1011" xr:uid="{00000000-0005-0000-0000-0000F2030000}"/>
    <cellStyle name="60% - 강조색4 12" xfId="1012" xr:uid="{00000000-0005-0000-0000-0000F3030000}"/>
    <cellStyle name="60% - 강조색4 13" xfId="1013" xr:uid="{00000000-0005-0000-0000-0000F4030000}"/>
    <cellStyle name="60% - 강조색4 14" xfId="1014" xr:uid="{00000000-0005-0000-0000-0000F5030000}"/>
    <cellStyle name="60% - 강조색4 15" xfId="1015" xr:uid="{00000000-0005-0000-0000-0000F6030000}"/>
    <cellStyle name="60% - 강조색4 16" xfId="1016" xr:uid="{00000000-0005-0000-0000-0000F7030000}"/>
    <cellStyle name="60% - 강조색4 17" xfId="1017" xr:uid="{00000000-0005-0000-0000-0000F8030000}"/>
    <cellStyle name="60% - 강조색4 18" xfId="1018" xr:uid="{00000000-0005-0000-0000-0000F9030000}"/>
    <cellStyle name="60% - 강조색4 19" xfId="1019" xr:uid="{00000000-0005-0000-0000-0000FA030000}"/>
    <cellStyle name="60% - 강조색4 2" xfId="1020" xr:uid="{00000000-0005-0000-0000-0000FB030000}"/>
    <cellStyle name="60% - 강조색4 2 2" xfId="1021" xr:uid="{00000000-0005-0000-0000-0000FC030000}"/>
    <cellStyle name="60% - 강조색4 2 3" xfId="1022" xr:uid="{00000000-0005-0000-0000-0000FD030000}"/>
    <cellStyle name="60% - 강조색4 20" xfId="1023" xr:uid="{00000000-0005-0000-0000-0000FE030000}"/>
    <cellStyle name="60% - 강조색4 21" xfId="1024" xr:uid="{00000000-0005-0000-0000-0000FF030000}"/>
    <cellStyle name="60% - 강조색4 22" xfId="1025" xr:uid="{00000000-0005-0000-0000-000000040000}"/>
    <cellStyle name="60% - 강조색4 23" xfId="1026" xr:uid="{00000000-0005-0000-0000-000001040000}"/>
    <cellStyle name="60% - 강조색4 24" xfId="1027" xr:uid="{00000000-0005-0000-0000-000002040000}"/>
    <cellStyle name="60% - 강조색4 25" xfId="1028" xr:uid="{00000000-0005-0000-0000-000003040000}"/>
    <cellStyle name="60% - 강조색4 26" xfId="1029" xr:uid="{00000000-0005-0000-0000-000004040000}"/>
    <cellStyle name="60% - 강조색4 27" xfId="1030" xr:uid="{00000000-0005-0000-0000-000005040000}"/>
    <cellStyle name="60% - 강조색4 3" xfId="1031" xr:uid="{00000000-0005-0000-0000-000006040000}"/>
    <cellStyle name="60% - 강조색4 3 2" xfId="1032" xr:uid="{00000000-0005-0000-0000-000007040000}"/>
    <cellStyle name="60% - 강조색4 3 3" xfId="1033" xr:uid="{00000000-0005-0000-0000-000008040000}"/>
    <cellStyle name="60% - 강조색4 3 4" xfId="1034" xr:uid="{00000000-0005-0000-0000-000009040000}"/>
    <cellStyle name="60% - 강조색4 3 5" xfId="1035" xr:uid="{00000000-0005-0000-0000-00000A040000}"/>
    <cellStyle name="60% - 강조색4 3 6" xfId="1036" xr:uid="{00000000-0005-0000-0000-00000B040000}"/>
    <cellStyle name="60% - 강조색4 3 7" xfId="1037" xr:uid="{00000000-0005-0000-0000-00000C040000}"/>
    <cellStyle name="60% - 강조색4 4" xfId="1038" xr:uid="{00000000-0005-0000-0000-00000D040000}"/>
    <cellStyle name="60% - 강조색4 4 2" xfId="1039" xr:uid="{00000000-0005-0000-0000-00000E040000}"/>
    <cellStyle name="60% - 강조색4 4 3" xfId="1040" xr:uid="{00000000-0005-0000-0000-00000F040000}"/>
    <cellStyle name="60% - 강조색4 4 4" xfId="1041" xr:uid="{00000000-0005-0000-0000-000010040000}"/>
    <cellStyle name="60% - 강조색4 5" xfId="1042" xr:uid="{00000000-0005-0000-0000-000011040000}"/>
    <cellStyle name="60% - 강조색4 6" xfId="1043" xr:uid="{00000000-0005-0000-0000-000012040000}"/>
    <cellStyle name="60% - 강조색4 7" xfId="1044" xr:uid="{00000000-0005-0000-0000-000013040000}"/>
    <cellStyle name="60% - 강조색4 8" xfId="1045" xr:uid="{00000000-0005-0000-0000-000014040000}"/>
    <cellStyle name="60% - 강조색4 9" xfId="1046" xr:uid="{00000000-0005-0000-0000-000015040000}"/>
    <cellStyle name="60% - 강조색5" xfId="1047" builtinId="48" customBuiltin="1"/>
    <cellStyle name="60% - 강조색5 10" xfId="1048" xr:uid="{00000000-0005-0000-0000-000017040000}"/>
    <cellStyle name="60% - 강조색5 11" xfId="1049" xr:uid="{00000000-0005-0000-0000-000018040000}"/>
    <cellStyle name="60% - 강조색5 12" xfId="1050" xr:uid="{00000000-0005-0000-0000-000019040000}"/>
    <cellStyle name="60% - 강조색5 13" xfId="1051" xr:uid="{00000000-0005-0000-0000-00001A040000}"/>
    <cellStyle name="60% - 강조색5 14" xfId="1052" xr:uid="{00000000-0005-0000-0000-00001B040000}"/>
    <cellStyle name="60% - 강조색5 15" xfId="1053" xr:uid="{00000000-0005-0000-0000-00001C040000}"/>
    <cellStyle name="60% - 강조색5 16" xfId="1054" xr:uid="{00000000-0005-0000-0000-00001D040000}"/>
    <cellStyle name="60% - 강조색5 17" xfId="1055" xr:uid="{00000000-0005-0000-0000-00001E040000}"/>
    <cellStyle name="60% - 강조색5 18" xfId="1056" xr:uid="{00000000-0005-0000-0000-00001F040000}"/>
    <cellStyle name="60% - 강조색5 19" xfId="1057" xr:uid="{00000000-0005-0000-0000-000020040000}"/>
    <cellStyle name="60% - 강조색5 2" xfId="1058" xr:uid="{00000000-0005-0000-0000-000021040000}"/>
    <cellStyle name="60% - 강조색5 2 2" xfId="1059" xr:uid="{00000000-0005-0000-0000-000022040000}"/>
    <cellStyle name="60% - 강조색5 2 3" xfId="1060" xr:uid="{00000000-0005-0000-0000-000023040000}"/>
    <cellStyle name="60% - 강조색5 20" xfId="1061" xr:uid="{00000000-0005-0000-0000-000024040000}"/>
    <cellStyle name="60% - 강조색5 21" xfId="1062" xr:uid="{00000000-0005-0000-0000-000025040000}"/>
    <cellStyle name="60% - 강조색5 22" xfId="1063" xr:uid="{00000000-0005-0000-0000-000026040000}"/>
    <cellStyle name="60% - 강조색5 23" xfId="1064" xr:uid="{00000000-0005-0000-0000-000027040000}"/>
    <cellStyle name="60% - 강조색5 24" xfId="1065" xr:uid="{00000000-0005-0000-0000-000028040000}"/>
    <cellStyle name="60% - 강조색5 25" xfId="1066" xr:uid="{00000000-0005-0000-0000-000029040000}"/>
    <cellStyle name="60% - 강조색5 26" xfId="1067" xr:uid="{00000000-0005-0000-0000-00002A040000}"/>
    <cellStyle name="60% - 강조색5 27" xfId="1068" xr:uid="{00000000-0005-0000-0000-00002B040000}"/>
    <cellStyle name="60% - 강조색5 3" xfId="1069" xr:uid="{00000000-0005-0000-0000-00002C040000}"/>
    <cellStyle name="60% - 강조색5 3 2" xfId="1070" xr:uid="{00000000-0005-0000-0000-00002D040000}"/>
    <cellStyle name="60% - 강조색5 3 3" xfId="1071" xr:uid="{00000000-0005-0000-0000-00002E040000}"/>
    <cellStyle name="60% - 강조색5 3 4" xfId="1072" xr:uid="{00000000-0005-0000-0000-00002F040000}"/>
    <cellStyle name="60% - 강조색5 3 5" xfId="1073" xr:uid="{00000000-0005-0000-0000-000030040000}"/>
    <cellStyle name="60% - 강조색5 3 6" xfId="1074" xr:uid="{00000000-0005-0000-0000-000031040000}"/>
    <cellStyle name="60% - 강조색5 3 7" xfId="1075" xr:uid="{00000000-0005-0000-0000-000032040000}"/>
    <cellStyle name="60% - 강조색5 4" xfId="1076" xr:uid="{00000000-0005-0000-0000-000033040000}"/>
    <cellStyle name="60% - 강조색5 4 2" xfId="1077" xr:uid="{00000000-0005-0000-0000-000034040000}"/>
    <cellStyle name="60% - 강조색5 4 3" xfId="1078" xr:uid="{00000000-0005-0000-0000-000035040000}"/>
    <cellStyle name="60% - 강조색5 4 4" xfId="1079" xr:uid="{00000000-0005-0000-0000-000036040000}"/>
    <cellStyle name="60% - 강조색5 5" xfId="1080" xr:uid="{00000000-0005-0000-0000-000037040000}"/>
    <cellStyle name="60% - 강조색5 6" xfId="1081" xr:uid="{00000000-0005-0000-0000-000038040000}"/>
    <cellStyle name="60% - 강조색5 7" xfId="1082" xr:uid="{00000000-0005-0000-0000-000039040000}"/>
    <cellStyle name="60% - 강조색5 8" xfId="1083" xr:uid="{00000000-0005-0000-0000-00003A040000}"/>
    <cellStyle name="60% - 강조색5 9" xfId="1084" xr:uid="{00000000-0005-0000-0000-00003B040000}"/>
    <cellStyle name="60% - 강조색6" xfId="1085" builtinId="52" customBuiltin="1"/>
    <cellStyle name="60% - 강조색6 10" xfId="1086" xr:uid="{00000000-0005-0000-0000-00003D040000}"/>
    <cellStyle name="60% - 강조색6 11" xfId="1087" xr:uid="{00000000-0005-0000-0000-00003E040000}"/>
    <cellStyle name="60% - 강조색6 12" xfId="1088" xr:uid="{00000000-0005-0000-0000-00003F040000}"/>
    <cellStyle name="60% - 강조색6 13" xfId="1089" xr:uid="{00000000-0005-0000-0000-000040040000}"/>
    <cellStyle name="60% - 강조색6 14" xfId="1090" xr:uid="{00000000-0005-0000-0000-000041040000}"/>
    <cellStyle name="60% - 강조색6 15" xfId="1091" xr:uid="{00000000-0005-0000-0000-000042040000}"/>
    <cellStyle name="60% - 강조색6 16" xfId="1092" xr:uid="{00000000-0005-0000-0000-000043040000}"/>
    <cellStyle name="60% - 강조색6 17" xfId="1093" xr:uid="{00000000-0005-0000-0000-000044040000}"/>
    <cellStyle name="60% - 강조색6 18" xfId="1094" xr:uid="{00000000-0005-0000-0000-000045040000}"/>
    <cellStyle name="60% - 강조색6 19" xfId="1095" xr:uid="{00000000-0005-0000-0000-000046040000}"/>
    <cellStyle name="60% - 강조색6 2" xfId="1096" xr:uid="{00000000-0005-0000-0000-000047040000}"/>
    <cellStyle name="60% - 강조색6 2 2" xfId="1097" xr:uid="{00000000-0005-0000-0000-000048040000}"/>
    <cellStyle name="60% - 강조색6 2 3" xfId="1098" xr:uid="{00000000-0005-0000-0000-000049040000}"/>
    <cellStyle name="60% - 강조색6 20" xfId="1099" xr:uid="{00000000-0005-0000-0000-00004A040000}"/>
    <cellStyle name="60% - 강조색6 21" xfId="1100" xr:uid="{00000000-0005-0000-0000-00004B040000}"/>
    <cellStyle name="60% - 강조색6 22" xfId="1101" xr:uid="{00000000-0005-0000-0000-00004C040000}"/>
    <cellStyle name="60% - 강조색6 23" xfId="1102" xr:uid="{00000000-0005-0000-0000-00004D040000}"/>
    <cellStyle name="60% - 강조색6 24" xfId="1103" xr:uid="{00000000-0005-0000-0000-00004E040000}"/>
    <cellStyle name="60% - 강조색6 25" xfId="1104" xr:uid="{00000000-0005-0000-0000-00004F040000}"/>
    <cellStyle name="60% - 강조색6 26" xfId="1105" xr:uid="{00000000-0005-0000-0000-000050040000}"/>
    <cellStyle name="60% - 강조색6 27" xfId="1106" xr:uid="{00000000-0005-0000-0000-000051040000}"/>
    <cellStyle name="60% - 강조색6 3" xfId="1107" xr:uid="{00000000-0005-0000-0000-000052040000}"/>
    <cellStyle name="60% - 강조색6 3 2" xfId="1108" xr:uid="{00000000-0005-0000-0000-000053040000}"/>
    <cellStyle name="60% - 강조색6 3 3" xfId="1109" xr:uid="{00000000-0005-0000-0000-000054040000}"/>
    <cellStyle name="60% - 강조색6 3 4" xfId="1110" xr:uid="{00000000-0005-0000-0000-000055040000}"/>
    <cellStyle name="60% - 강조색6 3 5" xfId="1111" xr:uid="{00000000-0005-0000-0000-000056040000}"/>
    <cellStyle name="60% - 강조색6 3 6" xfId="1112" xr:uid="{00000000-0005-0000-0000-000057040000}"/>
    <cellStyle name="60% - 강조색6 3 7" xfId="1113" xr:uid="{00000000-0005-0000-0000-000058040000}"/>
    <cellStyle name="60% - 강조색6 4" xfId="1114" xr:uid="{00000000-0005-0000-0000-000059040000}"/>
    <cellStyle name="60% - 강조색6 4 2" xfId="1115" xr:uid="{00000000-0005-0000-0000-00005A040000}"/>
    <cellStyle name="60% - 강조색6 4 3" xfId="1116" xr:uid="{00000000-0005-0000-0000-00005B040000}"/>
    <cellStyle name="60% - 강조색6 4 4" xfId="1117" xr:uid="{00000000-0005-0000-0000-00005C040000}"/>
    <cellStyle name="60% - 강조색6 5" xfId="1118" xr:uid="{00000000-0005-0000-0000-00005D040000}"/>
    <cellStyle name="60% - 강조색6 6" xfId="1119" xr:uid="{00000000-0005-0000-0000-00005E040000}"/>
    <cellStyle name="60% - 강조색6 7" xfId="1120" xr:uid="{00000000-0005-0000-0000-00005F040000}"/>
    <cellStyle name="60% - 강조색6 8" xfId="1121" xr:uid="{00000000-0005-0000-0000-000060040000}"/>
    <cellStyle name="60% - 강조색6 9" xfId="1122" xr:uid="{00000000-0005-0000-0000-000061040000}"/>
    <cellStyle name="a [0]_mud plant bolted" xfId="1123" xr:uid="{00000000-0005-0000-0000-000062040000}"/>
    <cellStyle name="A¨­￠￢￠O [0]_INQUIRY ￠?￥i¨u¡AAⓒ￢Aⓒª " xfId="1124" xr:uid="{00000000-0005-0000-0000-000063040000}"/>
    <cellStyle name="A¨­￠￢￠O_INQUIRY ￠?￥i¨u¡AAⓒ￢Aⓒª " xfId="1125" xr:uid="{00000000-0005-0000-0000-000064040000}"/>
    <cellStyle name="AeE­ [0]_ 2ÆAAþº° " xfId="1126" xr:uid="{00000000-0005-0000-0000-000065040000}"/>
    <cellStyle name="ÅëÈ­ [0]_º»¼± ±æ¾î±úºÎ ¼ö·® Áý°èÇ¥ " xfId="1127" xr:uid="{00000000-0005-0000-0000-000066040000}"/>
    <cellStyle name="AeE­ [0]_º≫¼± ±æ¾i±uºI ¼o·R Ay°eC￥ " xfId="1128" xr:uid="{00000000-0005-0000-0000-000067040000}"/>
    <cellStyle name="AeE­_ 2ÆAAþº° " xfId="1129" xr:uid="{00000000-0005-0000-0000-000068040000}"/>
    <cellStyle name="ÅëÈ­_º»¼± ±æ¾î±úºÎ ¼ö·® Áý°èÇ¥ " xfId="1130" xr:uid="{00000000-0005-0000-0000-000069040000}"/>
    <cellStyle name="AeE­_º≫¼± ±æ¾i±uºI ¼o·R Ay°eC￥ " xfId="1131" xr:uid="{00000000-0005-0000-0000-00006A040000}"/>
    <cellStyle name="AeE¡ⓒ [0]_INQUIRY ￠?￥i¨u¡AAⓒ￢Aⓒª " xfId="1132" xr:uid="{00000000-0005-0000-0000-00006B040000}"/>
    <cellStyle name="AeE¡ⓒ_INQUIRY ￠?￥i¨u¡AAⓒ￢Aⓒª " xfId="1133" xr:uid="{00000000-0005-0000-0000-00006C040000}"/>
    <cellStyle name="ALIGNMENT" xfId="1134" xr:uid="{00000000-0005-0000-0000-00006D040000}"/>
    <cellStyle name="AÞ¸¶ [0]_ 2ÆAAþº° " xfId="1135" xr:uid="{00000000-0005-0000-0000-00006E040000}"/>
    <cellStyle name="ÄÞ¸¶ [0]_º»¼± ±æ¾î±úºÎ ¼ö·® Áý°èÇ¥ " xfId="1136" xr:uid="{00000000-0005-0000-0000-00006F040000}"/>
    <cellStyle name="AÞ¸¶ [0]_º≫¼± ±æ¾i±uºI ¼o·R Ay°eC￥ " xfId="1137" xr:uid="{00000000-0005-0000-0000-000070040000}"/>
    <cellStyle name="AÞ¸¶_ 2ÆAAþº° " xfId="1138" xr:uid="{00000000-0005-0000-0000-000071040000}"/>
    <cellStyle name="ÄÞ¸¶_º»¼± ±æ¾î±úºÎ ¼ö·® Áý°èÇ¥ " xfId="1139" xr:uid="{00000000-0005-0000-0000-000072040000}"/>
    <cellStyle name="AÞ¸¶_º≫¼± ±æ¾i±uºI ¼o·R Ay°eC￥ " xfId="1140" xr:uid="{00000000-0005-0000-0000-000073040000}"/>
    <cellStyle name="C¡IA¨ª_¡ic¨u¡A¨￢I¨￢¡Æ AN¡Æe " xfId="1141" xr:uid="{00000000-0005-0000-0000-000074040000}"/>
    <cellStyle name="C￥AØ_  FAB AIA¤  " xfId="1142" xr:uid="{00000000-0005-0000-0000-000075040000}"/>
    <cellStyle name="Calc Currency (0)" xfId="1143" xr:uid="{00000000-0005-0000-0000-000076040000}"/>
    <cellStyle name="Calc Currency (0) 2" xfId="1144" xr:uid="{00000000-0005-0000-0000-000077040000}"/>
    <cellStyle name="category" xfId="1145" xr:uid="{00000000-0005-0000-0000-000078040000}"/>
    <cellStyle name="category 2" xfId="1146" xr:uid="{00000000-0005-0000-0000-000079040000}"/>
    <cellStyle name="CIAIÆU¸μAⓒ" xfId="1147" xr:uid="{00000000-0005-0000-0000-00007A040000}"/>
    <cellStyle name="Comma" xfId="1148" xr:uid="{00000000-0005-0000-0000-00007B040000}"/>
    <cellStyle name="Comma [0]" xfId="1149" xr:uid="{00000000-0005-0000-0000-00007C040000}"/>
    <cellStyle name="Comma [0] 2" xfId="1150" xr:uid="{00000000-0005-0000-0000-00007D040000}"/>
    <cellStyle name="Comma [0]_ SG&amp;A Bridge " xfId="1151" xr:uid="{00000000-0005-0000-0000-00007E040000}"/>
    <cellStyle name="Comma 2" xfId="1152" xr:uid="{00000000-0005-0000-0000-00007F040000}"/>
    <cellStyle name="Comma 3" xfId="1153" xr:uid="{00000000-0005-0000-0000-000080040000}"/>
    <cellStyle name="Comma 4" xfId="1154" xr:uid="{00000000-0005-0000-0000-000081040000}"/>
    <cellStyle name="Comma 5" xfId="1155" xr:uid="{00000000-0005-0000-0000-000082040000}"/>
    <cellStyle name="Comma 6" xfId="1156" xr:uid="{00000000-0005-0000-0000-000083040000}"/>
    <cellStyle name="Comma 7" xfId="1157" xr:uid="{00000000-0005-0000-0000-000084040000}"/>
    <cellStyle name="comma zerodec" xfId="1158" xr:uid="{00000000-0005-0000-0000-000085040000}"/>
    <cellStyle name="comma zerodec 2" xfId="1159" xr:uid="{00000000-0005-0000-0000-000086040000}"/>
    <cellStyle name="comma zerodec 3" xfId="1160" xr:uid="{00000000-0005-0000-0000-000087040000}"/>
    <cellStyle name="Comma_ SG&amp;A Bridge " xfId="1161" xr:uid="{00000000-0005-0000-0000-000088040000}"/>
    <cellStyle name="Comma0" xfId="1162" xr:uid="{00000000-0005-0000-0000-000089040000}"/>
    <cellStyle name="Copied" xfId="1163" xr:uid="{00000000-0005-0000-0000-00008A040000}"/>
    <cellStyle name="Curren?_x0012_퐀_x0017_?" xfId="1164" xr:uid="{00000000-0005-0000-0000-00008B040000}"/>
    <cellStyle name="Currency" xfId="1165" xr:uid="{00000000-0005-0000-0000-00008C040000}"/>
    <cellStyle name="Currency [0]" xfId="1166" xr:uid="{00000000-0005-0000-0000-00008D040000}"/>
    <cellStyle name="Currency [0] 2" xfId="1167" xr:uid="{00000000-0005-0000-0000-00008E040000}"/>
    <cellStyle name="Currency [0]_ SG&amp;A Bridge " xfId="1168" xr:uid="{00000000-0005-0000-0000-00008F040000}"/>
    <cellStyle name="Currency 2" xfId="1169" xr:uid="{00000000-0005-0000-0000-000090040000}"/>
    <cellStyle name="Currency 3" xfId="1170" xr:uid="{00000000-0005-0000-0000-000091040000}"/>
    <cellStyle name="Currency 4" xfId="1171" xr:uid="{00000000-0005-0000-0000-000092040000}"/>
    <cellStyle name="Currency 5" xfId="1172" xr:uid="{00000000-0005-0000-0000-000093040000}"/>
    <cellStyle name="Currency 6" xfId="1173" xr:uid="{00000000-0005-0000-0000-000094040000}"/>
    <cellStyle name="Currency 7" xfId="1174" xr:uid="{00000000-0005-0000-0000-000095040000}"/>
    <cellStyle name="Currency_ SG&amp;A Bridge " xfId="1175" xr:uid="{00000000-0005-0000-0000-000096040000}"/>
    <cellStyle name="Currency0" xfId="1176" xr:uid="{00000000-0005-0000-0000-000097040000}"/>
    <cellStyle name="Currency1" xfId="1177" xr:uid="{00000000-0005-0000-0000-000098040000}"/>
    <cellStyle name="Currency1 2" xfId="1178" xr:uid="{00000000-0005-0000-0000-000099040000}"/>
    <cellStyle name="Date" xfId="1179" xr:uid="{00000000-0005-0000-0000-00009A040000}"/>
    <cellStyle name="Date 2" xfId="1180" xr:uid="{00000000-0005-0000-0000-00009B040000}"/>
    <cellStyle name="Date 3" xfId="1181" xr:uid="{00000000-0005-0000-0000-00009C040000}"/>
    <cellStyle name="Dezimal [0]_laroux" xfId="1182" xr:uid="{00000000-0005-0000-0000-00009D040000}"/>
    <cellStyle name="Dezimal_laroux" xfId="1183" xr:uid="{00000000-0005-0000-0000-00009E040000}"/>
    <cellStyle name="Dollar (zero dec)" xfId="1184" xr:uid="{00000000-0005-0000-0000-00009F040000}"/>
    <cellStyle name="Dollar (zero dec) 2" xfId="1185" xr:uid="{00000000-0005-0000-0000-0000A0040000}"/>
    <cellStyle name="Dollar (zero dec) 3" xfId="1186" xr:uid="{00000000-0005-0000-0000-0000A1040000}"/>
    <cellStyle name="Entered" xfId="1187" xr:uid="{00000000-0005-0000-0000-0000A2040000}"/>
    <cellStyle name="Euro" xfId="1188" xr:uid="{00000000-0005-0000-0000-0000A3040000}"/>
    <cellStyle name="Excel.Chart" xfId="1189" xr:uid="{00000000-0005-0000-0000-0000A4040000}"/>
    <cellStyle name="F2" xfId="1190" xr:uid="{00000000-0005-0000-0000-0000A5040000}"/>
    <cellStyle name="F3" xfId="1191" xr:uid="{00000000-0005-0000-0000-0000A6040000}"/>
    <cellStyle name="F4" xfId="1192" xr:uid="{00000000-0005-0000-0000-0000A7040000}"/>
    <cellStyle name="F5" xfId="1193" xr:uid="{00000000-0005-0000-0000-0000A8040000}"/>
    <cellStyle name="F6" xfId="1194" xr:uid="{00000000-0005-0000-0000-0000A9040000}"/>
    <cellStyle name="F7" xfId="1195" xr:uid="{00000000-0005-0000-0000-0000AA040000}"/>
    <cellStyle name="F8" xfId="1196" xr:uid="{00000000-0005-0000-0000-0000AB040000}"/>
    <cellStyle name="Fixed" xfId="1197" xr:uid="{00000000-0005-0000-0000-0000AC040000}"/>
    <cellStyle name="Fixed 2" xfId="1198" xr:uid="{00000000-0005-0000-0000-0000AD040000}"/>
    <cellStyle name="Fixed 3" xfId="1199" xr:uid="{00000000-0005-0000-0000-0000AE040000}"/>
    <cellStyle name="Grey" xfId="1200" xr:uid="{00000000-0005-0000-0000-0000AF040000}"/>
    <cellStyle name="Grey 2" xfId="1201" xr:uid="{00000000-0005-0000-0000-0000B0040000}"/>
    <cellStyle name="H1" xfId="1202" xr:uid="{00000000-0005-0000-0000-0000B1040000}"/>
    <cellStyle name="H2" xfId="1203" xr:uid="{00000000-0005-0000-0000-0000B2040000}"/>
    <cellStyle name="HEADER" xfId="1204" xr:uid="{00000000-0005-0000-0000-0000B3040000}"/>
    <cellStyle name="Header1" xfId="1205" xr:uid="{00000000-0005-0000-0000-0000B4040000}"/>
    <cellStyle name="Header2" xfId="1206" xr:uid="{00000000-0005-0000-0000-0000B5040000}"/>
    <cellStyle name="Heading 1" xfId="1207" xr:uid="{00000000-0005-0000-0000-0000B6040000}"/>
    <cellStyle name="Heading 2" xfId="1208" xr:uid="{00000000-0005-0000-0000-0000B7040000}"/>
    <cellStyle name="Heading1" xfId="1209" xr:uid="{00000000-0005-0000-0000-0000B8040000}"/>
    <cellStyle name="Heading1 2" xfId="1210" xr:uid="{00000000-0005-0000-0000-0000B9040000}"/>
    <cellStyle name="Heading2" xfId="1211" xr:uid="{00000000-0005-0000-0000-0000BA040000}"/>
    <cellStyle name="Heading2 2" xfId="1212" xr:uid="{00000000-0005-0000-0000-0000BB040000}"/>
    <cellStyle name="Hyperlink_NEGS" xfId="1213" xr:uid="{00000000-0005-0000-0000-0000BC040000}"/>
    <cellStyle name="Input [yellow]" xfId="1214" xr:uid="{00000000-0005-0000-0000-0000BD040000}"/>
    <cellStyle name="Input [yellow] 2" xfId="1215" xr:uid="{00000000-0005-0000-0000-0000BE040000}"/>
    <cellStyle name="Input [yellow] 3" xfId="1216" xr:uid="{00000000-0005-0000-0000-0000BF040000}"/>
    <cellStyle name="Midtitle" xfId="1217" xr:uid="{00000000-0005-0000-0000-0000C0040000}"/>
    <cellStyle name="Milliers [0]_Arabian Spec" xfId="1218" xr:uid="{00000000-0005-0000-0000-0000C1040000}"/>
    <cellStyle name="Milliers_Arabian Spec" xfId="1219" xr:uid="{00000000-0005-0000-0000-0000C2040000}"/>
    <cellStyle name="Model" xfId="1220" xr:uid="{00000000-0005-0000-0000-0000C3040000}"/>
    <cellStyle name="Mon?aire [0]_Arabian Spec" xfId="1221" xr:uid="{00000000-0005-0000-0000-0000C4040000}"/>
    <cellStyle name="Mon?aire_Arabian Spec" xfId="1222" xr:uid="{00000000-0005-0000-0000-0000C5040000}"/>
    <cellStyle name="no dec" xfId="1223" xr:uid="{00000000-0005-0000-0000-0000C6040000}"/>
    <cellStyle name="normal" xfId="1224" xr:uid="{00000000-0005-0000-0000-0000C7040000}"/>
    <cellStyle name="Normal - Style1" xfId="1225" xr:uid="{00000000-0005-0000-0000-0000C8040000}"/>
    <cellStyle name="Normal - Style1 2" xfId="1226" xr:uid="{00000000-0005-0000-0000-0000C9040000}"/>
    <cellStyle name="Normal - Style1 3" xfId="1227" xr:uid="{00000000-0005-0000-0000-0000CA040000}"/>
    <cellStyle name="Normal - 유형1" xfId="1228" xr:uid="{00000000-0005-0000-0000-0000CB040000}"/>
    <cellStyle name="Normal_ SG&amp;A Bridge " xfId="1229" xr:uid="{00000000-0005-0000-0000-0000CC040000}"/>
    <cellStyle name="Œ…?æ맖?e [0.00]_laroux" xfId="1230" xr:uid="{00000000-0005-0000-0000-0000CD040000}"/>
    <cellStyle name="Œ…?æ맖?e_laroux" xfId="1231" xr:uid="{00000000-0005-0000-0000-0000CE040000}"/>
    <cellStyle name="Percent" xfId="1232" xr:uid="{00000000-0005-0000-0000-0000CF040000}"/>
    <cellStyle name="Percent [2]" xfId="1233" xr:uid="{00000000-0005-0000-0000-0000D0040000}"/>
    <cellStyle name="Percent 2" xfId="1234" xr:uid="{00000000-0005-0000-0000-0000D1040000}"/>
    <cellStyle name="Percent 3" xfId="1235" xr:uid="{00000000-0005-0000-0000-0000D2040000}"/>
    <cellStyle name="Percent 4" xfId="1236" xr:uid="{00000000-0005-0000-0000-0000D3040000}"/>
    <cellStyle name="Percent 5" xfId="1237" xr:uid="{00000000-0005-0000-0000-0000D4040000}"/>
    <cellStyle name="Percent 6" xfId="1238" xr:uid="{00000000-0005-0000-0000-0000D5040000}"/>
    <cellStyle name="Percent 7" xfId="1239" xr:uid="{00000000-0005-0000-0000-0000D6040000}"/>
    <cellStyle name="Percent_견적- 용인동백건축" xfId="1240" xr:uid="{00000000-0005-0000-0000-0000D7040000}"/>
    <cellStyle name="RevList" xfId="1241" xr:uid="{00000000-0005-0000-0000-0000D8040000}"/>
    <cellStyle name="Standard_laroux" xfId="1242" xr:uid="{00000000-0005-0000-0000-0000D9040000}"/>
    <cellStyle name="subhead" xfId="1243" xr:uid="{00000000-0005-0000-0000-0000DA040000}"/>
    <cellStyle name="Subtotal" xfId="1244" xr:uid="{00000000-0005-0000-0000-0000DB040000}"/>
    <cellStyle name="testtitle" xfId="1245" xr:uid="{00000000-0005-0000-0000-0000DC040000}"/>
    <cellStyle name="title [1]" xfId="1246" xr:uid="{00000000-0005-0000-0000-0000DD040000}"/>
    <cellStyle name="title [2]" xfId="1247" xr:uid="{00000000-0005-0000-0000-0000DE040000}"/>
    <cellStyle name="Total" xfId="1248" xr:uid="{00000000-0005-0000-0000-0000DF040000}"/>
    <cellStyle name="Total 2" xfId="1249" xr:uid="{00000000-0005-0000-0000-0000E0040000}"/>
    <cellStyle name="Total 3" xfId="1250" xr:uid="{00000000-0005-0000-0000-0000E1040000}"/>
    <cellStyle name="W?rung [0]_laroux" xfId="1251" xr:uid="{00000000-0005-0000-0000-0000E2040000}"/>
    <cellStyle name="W?rung_laroux" xfId="1252" xr:uid="{00000000-0005-0000-0000-0000E3040000}"/>
    <cellStyle name="μU¿¡ ¿A´A CIAIÆU¸μAⓒ" xfId="1253" xr:uid="{00000000-0005-0000-0000-0000E4040000}"/>
    <cellStyle name="강조색1" xfId="1254" builtinId="29" customBuiltin="1"/>
    <cellStyle name="강조색1 10" xfId="1255" xr:uid="{00000000-0005-0000-0000-0000E6040000}"/>
    <cellStyle name="강조색1 11" xfId="1256" xr:uid="{00000000-0005-0000-0000-0000E7040000}"/>
    <cellStyle name="강조색1 12" xfId="1257" xr:uid="{00000000-0005-0000-0000-0000E8040000}"/>
    <cellStyle name="강조색1 13" xfId="1258" xr:uid="{00000000-0005-0000-0000-0000E9040000}"/>
    <cellStyle name="강조색1 14" xfId="1259" xr:uid="{00000000-0005-0000-0000-0000EA040000}"/>
    <cellStyle name="강조색1 15" xfId="1260" xr:uid="{00000000-0005-0000-0000-0000EB040000}"/>
    <cellStyle name="강조색1 16" xfId="1261" xr:uid="{00000000-0005-0000-0000-0000EC040000}"/>
    <cellStyle name="강조색1 17" xfId="1262" xr:uid="{00000000-0005-0000-0000-0000ED040000}"/>
    <cellStyle name="강조색1 18" xfId="1263" xr:uid="{00000000-0005-0000-0000-0000EE040000}"/>
    <cellStyle name="강조색1 19" xfId="1264" xr:uid="{00000000-0005-0000-0000-0000EF040000}"/>
    <cellStyle name="강조색1 2" xfId="1265" xr:uid="{00000000-0005-0000-0000-0000F0040000}"/>
    <cellStyle name="강조색1 2 2" xfId="1266" xr:uid="{00000000-0005-0000-0000-0000F1040000}"/>
    <cellStyle name="강조색1 2 3" xfId="1267" xr:uid="{00000000-0005-0000-0000-0000F2040000}"/>
    <cellStyle name="강조색1 20" xfId="1268" xr:uid="{00000000-0005-0000-0000-0000F3040000}"/>
    <cellStyle name="강조색1 21" xfId="1269" xr:uid="{00000000-0005-0000-0000-0000F4040000}"/>
    <cellStyle name="강조색1 22" xfId="1270" xr:uid="{00000000-0005-0000-0000-0000F5040000}"/>
    <cellStyle name="강조색1 23" xfId="1271" xr:uid="{00000000-0005-0000-0000-0000F6040000}"/>
    <cellStyle name="강조색1 24" xfId="1272" xr:uid="{00000000-0005-0000-0000-0000F7040000}"/>
    <cellStyle name="강조색1 25" xfId="1273" xr:uid="{00000000-0005-0000-0000-0000F8040000}"/>
    <cellStyle name="강조색1 26" xfId="1274" xr:uid="{00000000-0005-0000-0000-0000F9040000}"/>
    <cellStyle name="강조색1 27" xfId="1275" xr:uid="{00000000-0005-0000-0000-0000FA040000}"/>
    <cellStyle name="강조색1 3" xfId="1276" xr:uid="{00000000-0005-0000-0000-0000FB040000}"/>
    <cellStyle name="강조색1 3 2" xfId="1277" xr:uid="{00000000-0005-0000-0000-0000FC040000}"/>
    <cellStyle name="강조색1 3 3" xfId="1278" xr:uid="{00000000-0005-0000-0000-0000FD040000}"/>
    <cellStyle name="강조색1 3 4" xfId="1279" xr:uid="{00000000-0005-0000-0000-0000FE040000}"/>
    <cellStyle name="강조색1 3 5" xfId="1280" xr:uid="{00000000-0005-0000-0000-0000FF040000}"/>
    <cellStyle name="강조색1 3 6" xfId="1281" xr:uid="{00000000-0005-0000-0000-000000050000}"/>
    <cellStyle name="강조색1 3 7" xfId="1282" xr:uid="{00000000-0005-0000-0000-000001050000}"/>
    <cellStyle name="강조색1 4" xfId="1283" xr:uid="{00000000-0005-0000-0000-000002050000}"/>
    <cellStyle name="강조색1 4 2" xfId="1284" xr:uid="{00000000-0005-0000-0000-000003050000}"/>
    <cellStyle name="강조색1 4 3" xfId="1285" xr:uid="{00000000-0005-0000-0000-000004050000}"/>
    <cellStyle name="강조색1 4 4" xfId="1286" xr:uid="{00000000-0005-0000-0000-000005050000}"/>
    <cellStyle name="강조색1 5" xfId="1287" xr:uid="{00000000-0005-0000-0000-000006050000}"/>
    <cellStyle name="강조색1 6" xfId="1288" xr:uid="{00000000-0005-0000-0000-000007050000}"/>
    <cellStyle name="강조색1 7" xfId="1289" xr:uid="{00000000-0005-0000-0000-000008050000}"/>
    <cellStyle name="강조색1 8" xfId="1290" xr:uid="{00000000-0005-0000-0000-000009050000}"/>
    <cellStyle name="강조색1 9" xfId="1291" xr:uid="{00000000-0005-0000-0000-00000A050000}"/>
    <cellStyle name="강조색2" xfId="1292" builtinId="33" customBuiltin="1"/>
    <cellStyle name="강조색2 10" xfId="1293" xr:uid="{00000000-0005-0000-0000-00000C050000}"/>
    <cellStyle name="강조색2 11" xfId="1294" xr:uid="{00000000-0005-0000-0000-00000D050000}"/>
    <cellStyle name="강조색2 12" xfId="1295" xr:uid="{00000000-0005-0000-0000-00000E050000}"/>
    <cellStyle name="강조색2 13" xfId="1296" xr:uid="{00000000-0005-0000-0000-00000F050000}"/>
    <cellStyle name="강조색2 14" xfId="1297" xr:uid="{00000000-0005-0000-0000-000010050000}"/>
    <cellStyle name="강조색2 15" xfId="1298" xr:uid="{00000000-0005-0000-0000-000011050000}"/>
    <cellStyle name="강조색2 16" xfId="1299" xr:uid="{00000000-0005-0000-0000-000012050000}"/>
    <cellStyle name="강조색2 17" xfId="1300" xr:uid="{00000000-0005-0000-0000-000013050000}"/>
    <cellStyle name="강조색2 18" xfId="1301" xr:uid="{00000000-0005-0000-0000-000014050000}"/>
    <cellStyle name="강조색2 19" xfId="1302" xr:uid="{00000000-0005-0000-0000-000015050000}"/>
    <cellStyle name="강조색2 2" xfId="1303" xr:uid="{00000000-0005-0000-0000-000016050000}"/>
    <cellStyle name="강조색2 2 2" xfId="1304" xr:uid="{00000000-0005-0000-0000-000017050000}"/>
    <cellStyle name="강조색2 2 3" xfId="1305" xr:uid="{00000000-0005-0000-0000-000018050000}"/>
    <cellStyle name="강조색2 20" xfId="1306" xr:uid="{00000000-0005-0000-0000-000019050000}"/>
    <cellStyle name="강조색2 21" xfId="1307" xr:uid="{00000000-0005-0000-0000-00001A050000}"/>
    <cellStyle name="강조색2 22" xfId="1308" xr:uid="{00000000-0005-0000-0000-00001B050000}"/>
    <cellStyle name="강조색2 23" xfId="1309" xr:uid="{00000000-0005-0000-0000-00001C050000}"/>
    <cellStyle name="강조색2 24" xfId="1310" xr:uid="{00000000-0005-0000-0000-00001D050000}"/>
    <cellStyle name="강조색2 25" xfId="1311" xr:uid="{00000000-0005-0000-0000-00001E050000}"/>
    <cellStyle name="강조색2 26" xfId="1312" xr:uid="{00000000-0005-0000-0000-00001F050000}"/>
    <cellStyle name="강조색2 27" xfId="1313" xr:uid="{00000000-0005-0000-0000-000020050000}"/>
    <cellStyle name="강조색2 3" xfId="1314" xr:uid="{00000000-0005-0000-0000-000021050000}"/>
    <cellStyle name="강조색2 3 2" xfId="1315" xr:uid="{00000000-0005-0000-0000-000022050000}"/>
    <cellStyle name="강조색2 3 3" xfId="1316" xr:uid="{00000000-0005-0000-0000-000023050000}"/>
    <cellStyle name="강조색2 3 4" xfId="1317" xr:uid="{00000000-0005-0000-0000-000024050000}"/>
    <cellStyle name="강조색2 3 5" xfId="1318" xr:uid="{00000000-0005-0000-0000-000025050000}"/>
    <cellStyle name="강조색2 3 6" xfId="1319" xr:uid="{00000000-0005-0000-0000-000026050000}"/>
    <cellStyle name="강조색2 3 7" xfId="1320" xr:uid="{00000000-0005-0000-0000-000027050000}"/>
    <cellStyle name="강조색2 4" xfId="1321" xr:uid="{00000000-0005-0000-0000-000028050000}"/>
    <cellStyle name="강조색2 4 2" xfId="1322" xr:uid="{00000000-0005-0000-0000-000029050000}"/>
    <cellStyle name="강조색2 4 3" xfId="1323" xr:uid="{00000000-0005-0000-0000-00002A050000}"/>
    <cellStyle name="강조색2 4 4" xfId="1324" xr:uid="{00000000-0005-0000-0000-00002B050000}"/>
    <cellStyle name="강조색2 5" xfId="1325" xr:uid="{00000000-0005-0000-0000-00002C050000}"/>
    <cellStyle name="강조색2 6" xfId="1326" xr:uid="{00000000-0005-0000-0000-00002D050000}"/>
    <cellStyle name="강조색2 7" xfId="1327" xr:uid="{00000000-0005-0000-0000-00002E050000}"/>
    <cellStyle name="강조색2 8" xfId="1328" xr:uid="{00000000-0005-0000-0000-00002F050000}"/>
    <cellStyle name="강조색2 9" xfId="1329" xr:uid="{00000000-0005-0000-0000-000030050000}"/>
    <cellStyle name="강조색3" xfId="1330" builtinId="37" customBuiltin="1"/>
    <cellStyle name="강조색3 10" xfId="1331" xr:uid="{00000000-0005-0000-0000-000032050000}"/>
    <cellStyle name="강조색3 11" xfId="1332" xr:uid="{00000000-0005-0000-0000-000033050000}"/>
    <cellStyle name="강조색3 12" xfId="1333" xr:uid="{00000000-0005-0000-0000-000034050000}"/>
    <cellStyle name="강조색3 13" xfId="1334" xr:uid="{00000000-0005-0000-0000-000035050000}"/>
    <cellStyle name="강조색3 14" xfId="1335" xr:uid="{00000000-0005-0000-0000-000036050000}"/>
    <cellStyle name="강조색3 15" xfId="1336" xr:uid="{00000000-0005-0000-0000-000037050000}"/>
    <cellStyle name="강조색3 16" xfId="1337" xr:uid="{00000000-0005-0000-0000-000038050000}"/>
    <cellStyle name="강조색3 17" xfId="1338" xr:uid="{00000000-0005-0000-0000-000039050000}"/>
    <cellStyle name="강조색3 18" xfId="1339" xr:uid="{00000000-0005-0000-0000-00003A050000}"/>
    <cellStyle name="강조색3 19" xfId="1340" xr:uid="{00000000-0005-0000-0000-00003B050000}"/>
    <cellStyle name="강조색3 2" xfId="1341" xr:uid="{00000000-0005-0000-0000-00003C050000}"/>
    <cellStyle name="강조색3 2 2" xfId="1342" xr:uid="{00000000-0005-0000-0000-00003D050000}"/>
    <cellStyle name="강조색3 2 3" xfId="1343" xr:uid="{00000000-0005-0000-0000-00003E050000}"/>
    <cellStyle name="강조색3 20" xfId="1344" xr:uid="{00000000-0005-0000-0000-00003F050000}"/>
    <cellStyle name="강조색3 21" xfId="1345" xr:uid="{00000000-0005-0000-0000-000040050000}"/>
    <cellStyle name="강조색3 22" xfId="1346" xr:uid="{00000000-0005-0000-0000-000041050000}"/>
    <cellStyle name="강조색3 23" xfId="1347" xr:uid="{00000000-0005-0000-0000-000042050000}"/>
    <cellStyle name="강조색3 24" xfId="1348" xr:uid="{00000000-0005-0000-0000-000043050000}"/>
    <cellStyle name="강조색3 25" xfId="1349" xr:uid="{00000000-0005-0000-0000-000044050000}"/>
    <cellStyle name="강조색3 26" xfId="1350" xr:uid="{00000000-0005-0000-0000-000045050000}"/>
    <cellStyle name="강조색3 27" xfId="1351" xr:uid="{00000000-0005-0000-0000-000046050000}"/>
    <cellStyle name="강조색3 3" xfId="1352" xr:uid="{00000000-0005-0000-0000-000047050000}"/>
    <cellStyle name="강조색3 3 2" xfId="1353" xr:uid="{00000000-0005-0000-0000-000048050000}"/>
    <cellStyle name="강조색3 3 3" xfId="1354" xr:uid="{00000000-0005-0000-0000-000049050000}"/>
    <cellStyle name="강조색3 3 4" xfId="1355" xr:uid="{00000000-0005-0000-0000-00004A050000}"/>
    <cellStyle name="강조색3 3 5" xfId="1356" xr:uid="{00000000-0005-0000-0000-00004B050000}"/>
    <cellStyle name="강조색3 3 6" xfId="1357" xr:uid="{00000000-0005-0000-0000-00004C050000}"/>
    <cellStyle name="강조색3 3 7" xfId="1358" xr:uid="{00000000-0005-0000-0000-00004D050000}"/>
    <cellStyle name="강조색3 4" xfId="1359" xr:uid="{00000000-0005-0000-0000-00004E050000}"/>
    <cellStyle name="강조색3 4 2" xfId="1360" xr:uid="{00000000-0005-0000-0000-00004F050000}"/>
    <cellStyle name="강조색3 4 3" xfId="1361" xr:uid="{00000000-0005-0000-0000-000050050000}"/>
    <cellStyle name="강조색3 4 4" xfId="1362" xr:uid="{00000000-0005-0000-0000-000051050000}"/>
    <cellStyle name="강조색3 5" xfId="1363" xr:uid="{00000000-0005-0000-0000-000052050000}"/>
    <cellStyle name="강조색3 6" xfId="1364" xr:uid="{00000000-0005-0000-0000-000053050000}"/>
    <cellStyle name="강조색3 7" xfId="1365" xr:uid="{00000000-0005-0000-0000-000054050000}"/>
    <cellStyle name="강조색3 8" xfId="1366" xr:uid="{00000000-0005-0000-0000-000055050000}"/>
    <cellStyle name="강조색3 9" xfId="1367" xr:uid="{00000000-0005-0000-0000-000056050000}"/>
    <cellStyle name="강조색4" xfId="1368" builtinId="41" customBuiltin="1"/>
    <cellStyle name="강조색4 10" xfId="1369" xr:uid="{00000000-0005-0000-0000-000058050000}"/>
    <cellStyle name="강조색4 11" xfId="1370" xr:uid="{00000000-0005-0000-0000-000059050000}"/>
    <cellStyle name="강조색4 12" xfId="1371" xr:uid="{00000000-0005-0000-0000-00005A050000}"/>
    <cellStyle name="강조색4 13" xfId="1372" xr:uid="{00000000-0005-0000-0000-00005B050000}"/>
    <cellStyle name="강조색4 14" xfId="1373" xr:uid="{00000000-0005-0000-0000-00005C050000}"/>
    <cellStyle name="강조색4 15" xfId="1374" xr:uid="{00000000-0005-0000-0000-00005D050000}"/>
    <cellStyle name="강조색4 16" xfId="1375" xr:uid="{00000000-0005-0000-0000-00005E050000}"/>
    <cellStyle name="강조색4 17" xfId="1376" xr:uid="{00000000-0005-0000-0000-00005F050000}"/>
    <cellStyle name="강조색4 18" xfId="1377" xr:uid="{00000000-0005-0000-0000-000060050000}"/>
    <cellStyle name="강조색4 19" xfId="1378" xr:uid="{00000000-0005-0000-0000-000061050000}"/>
    <cellStyle name="강조색4 2" xfId="1379" xr:uid="{00000000-0005-0000-0000-000062050000}"/>
    <cellStyle name="강조색4 2 2" xfId="1380" xr:uid="{00000000-0005-0000-0000-000063050000}"/>
    <cellStyle name="강조색4 2 3" xfId="1381" xr:uid="{00000000-0005-0000-0000-000064050000}"/>
    <cellStyle name="강조색4 20" xfId="1382" xr:uid="{00000000-0005-0000-0000-000065050000}"/>
    <cellStyle name="강조색4 21" xfId="1383" xr:uid="{00000000-0005-0000-0000-000066050000}"/>
    <cellStyle name="강조색4 22" xfId="1384" xr:uid="{00000000-0005-0000-0000-000067050000}"/>
    <cellStyle name="강조색4 23" xfId="1385" xr:uid="{00000000-0005-0000-0000-000068050000}"/>
    <cellStyle name="강조색4 24" xfId="1386" xr:uid="{00000000-0005-0000-0000-000069050000}"/>
    <cellStyle name="강조색4 25" xfId="1387" xr:uid="{00000000-0005-0000-0000-00006A050000}"/>
    <cellStyle name="강조색4 26" xfId="1388" xr:uid="{00000000-0005-0000-0000-00006B050000}"/>
    <cellStyle name="강조색4 27" xfId="1389" xr:uid="{00000000-0005-0000-0000-00006C050000}"/>
    <cellStyle name="강조색4 3" xfId="1390" xr:uid="{00000000-0005-0000-0000-00006D050000}"/>
    <cellStyle name="강조색4 3 2" xfId="1391" xr:uid="{00000000-0005-0000-0000-00006E050000}"/>
    <cellStyle name="강조색4 3 3" xfId="1392" xr:uid="{00000000-0005-0000-0000-00006F050000}"/>
    <cellStyle name="강조색4 3 4" xfId="1393" xr:uid="{00000000-0005-0000-0000-000070050000}"/>
    <cellStyle name="강조색4 3 5" xfId="1394" xr:uid="{00000000-0005-0000-0000-000071050000}"/>
    <cellStyle name="강조색4 3 6" xfId="1395" xr:uid="{00000000-0005-0000-0000-000072050000}"/>
    <cellStyle name="강조색4 3 7" xfId="1396" xr:uid="{00000000-0005-0000-0000-000073050000}"/>
    <cellStyle name="강조색4 4" xfId="1397" xr:uid="{00000000-0005-0000-0000-000074050000}"/>
    <cellStyle name="강조색4 4 2" xfId="1398" xr:uid="{00000000-0005-0000-0000-000075050000}"/>
    <cellStyle name="강조색4 4 3" xfId="1399" xr:uid="{00000000-0005-0000-0000-000076050000}"/>
    <cellStyle name="강조색4 4 4" xfId="1400" xr:uid="{00000000-0005-0000-0000-000077050000}"/>
    <cellStyle name="강조색4 5" xfId="1401" xr:uid="{00000000-0005-0000-0000-000078050000}"/>
    <cellStyle name="강조색4 6" xfId="1402" xr:uid="{00000000-0005-0000-0000-000079050000}"/>
    <cellStyle name="강조색4 7" xfId="1403" xr:uid="{00000000-0005-0000-0000-00007A050000}"/>
    <cellStyle name="강조색4 8" xfId="1404" xr:uid="{00000000-0005-0000-0000-00007B050000}"/>
    <cellStyle name="강조색4 9" xfId="1405" xr:uid="{00000000-0005-0000-0000-00007C050000}"/>
    <cellStyle name="강조색5" xfId="1406" builtinId="45" customBuiltin="1"/>
    <cellStyle name="강조색5 10" xfId="1407" xr:uid="{00000000-0005-0000-0000-00007E050000}"/>
    <cellStyle name="강조색5 11" xfId="1408" xr:uid="{00000000-0005-0000-0000-00007F050000}"/>
    <cellStyle name="강조색5 12" xfId="1409" xr:uid="{00000000-0005-0000-0000-000080050000}"/>
    <cellStyle name="강조색5 13" xfId="1410" xr:uid="{00000000-0005-0000-0000-000081050000}"/>
    <cellStyle name="강조색5 14" xfId="1411" xr:uid="{00000000-0005-0000-0000-000082050000}"/>
    <cellStyle name="강조색5 15" xfId="1412" xr:uid="{00000000-0005-0000-0000-000083050000}"/>
    <cellStyle name="강조색5 16" xfId="1413" xr:uid="{00000000-0005-0000-0000-000084050000}"/>
    <cellStyle name="강조색5 17" xfId="1414" xr:uid="{00000000-0005-0000-0000-000085050000}"/>
    <cellStyle name="강조색5 18" xfId="1415" xr:uid="{00000000-0005-0000-0000-000086050000}"/>
    <cellStyle name="강조색5 19" xfId="1416" xr:uid="{00000000-0005-0000-0000-000087050000}"/>
    <cellStyle name="강조색5 2" xfId="1417" xr:uid="{00000000-0005-0000-0000-000088050000}"/>
    <cellStyle name="강조색5 2 2" xfId="1418" xr:uid="{00000000-0005-0000-0000-000089050000}"/>
    <cellStyle name="강조색5 2 3" xfId="1419" xr:uid="{00000000-0005-0000-0000-00008A050000}"/>
    <cellStyle name="강조색5 20" xfId="1420" xr:uid="{00000000-0005-0000-0000-00008B050000}"/>
    <cellStyle name="강조색5 21" xfId="1421" xr:uid="{00000000-0005-0000-0000-00008C050000}"/>
    <cellStyle name="강조색5 22" xfId="1422" xr:uid="{00000000-0005-0000-0000-00008D050000}"/>
    <cellStyle name="강조색5 23" xfId="1423" xr:uid="{00000000-0005-0000-0000-00008E050000}"/>
    <cellStyle name="강조색5 24" xfId="1424" xr:uid="{00000000-0005-0000-0000-00008F050000}"/>
    <cellStyle name="강조색5 25" xfId="1425" xr:uid="{00000000-0005-0000-0000-000090050000}"/>
    <cellStyle name="강조색5 26" xfId="1426" xr:uid="{00000000-0005-0000-0000-000091050000}"/>
    <cellStyle name="강조색5 27" xfId="1427" xr:uid="{00000000-0005-0000-0000-000092050000}"/>
    <cellStyle name="강조색5 3" xfId="1428" xr:uid="{00000000-0005-0000-0000-000093050000}"/>
    <cellStyle name="강조색5 3 2" xfId="1429" xr:uid="{00000000-0005-0000-0000-000094050000}"/>
    <cellStyle name="강조색5 3 3" xfId="1430" xr:uid="{00000000-0005-0000-0000-000095050000}"/>
    <cellStyle name="강조색5 3 4" xfId="1431" xr:uid="{00000000-0005-0000-0000-000096050000}"/>
    <cellStyle name="강조색5 3 5" xfId="1432" xr:uid="{00000000-0005-0000-0000-000097050000}"/>
    <cellStyle name="강조색5 3 6" xfId="1433" xr:uid="{00000000-0005-0000-0000-000098050000}"/>
    <cellStyle name="강조색5 3 7" xfId="1434" xr:uid="{00000000-0005-0000-0000-000099050000}"/>
    <cellStyle name="강조색5 4" xfId="1435" xr:uid="{00000000-0005-0000-0000-00009A050000}"/>
    <cellStyle name="강조색5 4 2" xfId="1436" xr:uid="{00000000-0005-0000-0000-00009B050000}"/>
    <cellStyle name="강조색5 4 3" xfId="1437" xr:uid="{00000000-0005-0000-0000-00009C050000}"/>
    <cellStyle name="강조색5 4 4" xfId="1438" xr:uid="{00000000-0005-0000-0000-00009D050000}"/>
    <cellStyle name="강조색5 5" xfId="1439" xr:uid="{00000000-0005-0000-0000-00009E050000}"/>
    <cellStyle name="강조색5 6" xfId="1440" xr:uid="{00000000-0005-0000-0000-00009F050000}"/>
    <cellStyle name="강조색5 7" xfId="1441" xr:uid="{00000000-0005-0000-0000-0000A0050000}"/>
    <cellStyle name="강조색5 8" xfId="1442" xr:uid="{00000000-0005-0000-0000-0000A1050000}"/>
    <cellStyle name="강조색5 9" xfId="1443" xr:uid="{00000000-0005-0000-0000-0000A2050000}"/>
    <cellStyle name="강조색6" xfId="1444" builtinId="49" customBuiltin="1"/>
    <cellStyle name="강조색6 10" xfId="1445" xr:uid="{00000000-0005-0000-0000-0000A4050000}"/>
    <cellStyle name="강조색6 11" xfId="1446" xr:uid="{00000000-0005-0000-0000-0000A5050000}"/>
    <cellStyle name="강조색6 12" xfId="1447" xr:uid="{00000000-0005-0000-0000-0000A6050000}"/>
    <cellStyle name="강조색6 13" xfId="1448" xr:uid="{00000000-0005-0000-0000-0000A7050000}"/>
    <cellStyle name="강조색6 14" xfId="1449" xr:uid="{00000000-0005-0000-0000-0000A8050000}"/>
    <cellStyle name="강조색6 15" xfId="1450" xr:uid="{00000000-0005-0000-0000-0000A9050000}"/>
    <cellStyle name="강조색6 16" xfId="1451" xr:uid="{00000000-0005-0000-0000-0000AA050000}"/>
    <cellStyle name="강조색6 17" xfId="1452" xr:uid="{00000000-0005-0000-0000-0000AB050000}"/>
    <cellStyle name="강조색6 18" xfId="1453" xr:uid="{00000000-0005-0000-0000-0000AC050000}"/>
    <cellStyle name="강조색6 19" xfId="1454" xr:uid="{00000000-0005-0000-0000-0000AD050000}"/>
    <cellStyle name="강조색6 2" xfId="1455" xr:uid="{00000000-0005-0000-0000-0000AE050000}"/>
    <cellStyle name="강조색6 2 2" xfId="1456" xr:uid="{00000000-0005-0000-0000-0000AF050000}"/>
    <cellStyle name="강조색6 2 3" xfId="1457" xr:uid="{00000000-0005-0000-0000-0000B0050000}"/>
    <cellStyle name="강조색6 20" xfId="1458" xr:uid="{00000000-0005-0000-0000-0000B1050000}"/>
    <cellStyle name="강조색6 21" xfId="1459" xr:uid="{00000000-0005-0000-0000-0000B2050000}"/>
    <cellStyle name="강조색6 22" xfId="1460" xr:uid="{00000000-0005-0000-0000-0000B3050000}"/>
    <cellStyle name="강조색6 23" xfId="1461" xr:uid="{00000000-0005-0000-0000-0000B4050000}"/>
    <cellStyle name="강조색6 24" xfId="1462" xr:uid="{00000000-0005-0000-0000-0000B5050000}"/>
    <cellStyle name="강조색6 25" xfId="1463" xr:uid="{00000000-0005-0000-0000-0000B6050000}"/>
    <cellStyle name="강조색6 26" xfId="1464" xr:uid="{00000000-0005-0000-0000-0000B7050000}"/>
    <cellStyle name="강조색6 27" xfId="1465" xr:uid="{00000000-0005-0000-0000-0000B8050000}"/>
    <cellStyle name="강조색6 3" xfId="1466" xr:uid="{00000000-0005-0000-0000-0000B9050000}"/>
    <cellStyle name="강조색6 3 2" xfId="1467" xr:uid="{00000000-0005-0000-0000-0000BA050000}"/>
    <cellStyle name="강조색6 3 3" xfId="1468" xr:uid="{00000000-0005-0000-0000-0000BB050000}"/>
    <cellStyle name="강조색6 3 4" xfId="1469" xr:uid="{00000000-0005-0000-0000-0000BC050000}"/>
    <cellStyle name="강조색6 3 5" xfId="1470" xr:uid="{00000000-0005-0000-0000-0000BD050000}"/>
    <cellStyle name="강조색6 3 6" xfId="1471" xr:uid="{00000000-0005-0000-0000-0000BE050000}"/>
    <cellStyle name="강조색6 3 7" xfId="1472" xr:uid="{00000000-0005-0000-0000-0000BF050000}"/>
    <cellStyle name="강조색6 4" xfId="1473" xr:uid="{00000000-0005-0000-0000-0000C0050000}"/>
    <cellStyle name="강조색6 4 2" xfId="1474" xr:uid="{00000000-0005-0000-0000-0000C1050000}"/>
    <cellStyle name="강조색6 4 3" xfId="1475" xr:uid="{00000000-0005-0000-0000-0000C2050000}"/>
    <cellStyle name="강조색6 4 4" xfId="1476" xr:uid="{00000000-0005-0000-0000-0000C3050000}"/>
    <cellStyle name="강조색6 5" xfId="1477" xr:uid="{00000000-0005-0000-0000-0000C4050000}"/>
    <cellStyle name="강조색6 6" xfId="1478" xr:uid="{00000000-0005-0000-0000-0000C5050000}"/>
    <cellStyle name="강조색6 7" xfId="1479" xr:uid="{00000000-0005-0000-0000-0000C6050000}"/>
    <cellStyle name="강조색6 8" xfId="1480" xr:uid="{00000000-0005-0000-0000-0000C7050000}"/>
    <cellStyle name="강조색6 9" xfId="1481" xr:uid="{00000000-0005-0000-0000-0000C8050000}"/>
    <cellStyle name="경고문" xfId="1482" builtinId="11" customBuiltin="1"/>
    <cellStyle name="경고문 10" xfId="1483" xr:uid="{00000000-0005-0000-0000-0000CA050000}"/>
    <cellStyle name="경고문 11" xfId="1484" xr:uid="{00000000-0005-0000-0000-0000CB050000}"/>
    <cellStyle name="경고문 12" xfId="1485" xr:uid="{00000000-0005-0000-0000-0000CC050000}"/>
    <cellStyle name="경고문 13" xfId="1486" xr:uid="{00000000-0005-0000-0000-0000CD050000}"/>
    <cellStyle name="경고문 14" xfId="1487" xr:uid="{00000000-0005-0000-0000-0000CE050000}"/>
    <cellStyle name="경고문 15" xfId="1488" xr:uid="{00000000-0005-0000-0000-0000CF050000}"/>
    <cellStyle name="경고문 16" xfId="1489" xr:uid="{00000000-0005-0000-0000-0000D0050000}"/>
    <cellStyle name="경고문 17" xfId="1490" xr:uid="{00000000-0005-0000-0000-0000D1050000}"/>
    <cellStyle name="경고문 18" xfId="1491" xr:uid="{00000000-0005-0000-0000-0000D2050000}"/>
    <cellStyle name="경고문 19" xfId="1492" xr:uid="{00000000-0005-0000-0000-0000D3050000}"/>
    <cellStyle name="경고문 2" xfId="1493" xr:uid="{00000000-0005-0000-0000-0000D4050000}"/>
    <cellStyle name="경고문 2 2" xfId="1494" xr:uid="{00000000-0005-0000-0000-0000D5050000}"/>
    <cellStyle name="경고문 2 3" xfId="1495" xr:uid="{00000000-0005-0000-0000-0000D6050000}"/>
    <cellStyle name="경고문 20" xfId="1496" xr:uid="{00000000-0005-0000-0000-0000D7050000}"/>
    <cellStyle name="경고문 21" xfId="1497" xr:uid="{00000000-0005-0000-0000-0000D8050000}"/>
    <cellStyle name="경고문 22" xfId="1498" xr:uid="{00000000-0005-0000-0000-0000D9050000}"/>
    <cellStyle name="경고문 23" xfId="1499" xr:uid="{00000000-0005-0000-0000-0000DA050000}"/>
    <cellStyle name="경고문 24" xfId="1500" xr:uid="{00000000-0005-0000-0000-0000DB050000}"/>
    <cellStyle name="경고문 25" xfId="1501" xr:uid="{00000000-0005-0000-0000-0000DC050000}"/>
    <cellStyle name="경고문 26" xfId="1502" xr:uid="{00000000-0005-0000-0000-0000DD050000}"/>
    <cellStyle name="경고문 27" xfId="1503" xr:uid="{00000000-0005-0000-0000-0000DE050000}"/>
    <cellStyle name="경고문 3" xfId="1504" xr:uid="{00000000-0005-0000-0000-0000DF050000}"/>
    <cellStyle name="경고문 3 2" xfId="1505" xr:uid="{00000000-0005-0000-0000-0000E0050000}"/>
    <cellStyle name="경고문 3 3" xfId="1506" xr:uid="{00000000-0005-0000-0000-0000E1050000}"/>
    <cellStyle name="경고문 3 4" xfId="1507" xr:uid="{00000000-0005-0000-0000-0000E2050000}"/>
    <cellStyle name="경고문 3 5" xfId="1508" xr:uid="{00000000-0005-0000-0000-0000E3050000}"/>
    <cellStyle name="경고문 3 6" xfId="1509" xr:uid="{00000000-0005-0000-0000-0000E4050000}"/>
    <cellStyle name="경고문 3 7" xfId="1510" xr:uid="{00000000-0005-0000-0000-0000E5050000}"/>
    <cellStyle name="경고문 4" xfId="1511" xr:uid="{00000000-0005-0000-0000-0000E6050000}"/>
    <cellStyle name="경고문 4 2" xfId="1512" xr:uid="{00000000-0005-0000-0000-0000E7050000}"/>
    <cellStyle name="경고문 4 3" xfId="1513" xr:uid="{00000000-0005-0000-0000-0000E8050000}"/>
    <cellStyle name="경고문 4 4" xfId="1514" xr:uid="{00000000-0005-0000-0000-0000E9050000}"/>
    <cellStyle name="경고문 5" xfId="1515" xr:uid="{00000000-0005-0000-0000-0000EA050000}"/>
    <cellStyle name="경고문 6" xfId="1516" xr:uid="{00000000-0005-0000-0000-0000EB050000}"/>
    <cellStyle name="경고문 7" xfId="1517" xr:uid="{00000000-0005-0000-0000-0000EC050000}"/>
    <cellStyle name="경고문 8" xfId="1518" xr:uid="{00000000-0005-0000-0000-0000ED050000}"/>
    <cellStyle name="경고문 9" xfId="1519" xr:uid="{00000000-0005-0000-0000-0000EE050000}"/>
    <cellStyle name="계산" xfId="1520" builtinId="22" customBuiltin="1"/>
    <cellStyle name="계산 10" xfId="1521" xr:uid="{00000000-0005-0000-0000-0000F0050000}"/>
    <cellStyle name="계산 11" xfId="1522" xr:uid="{00000000-0005-0000-0000-0000F1050000}"/>
    <cellStyle name="계산 12" xfId="1523" xr:uid="{00000000-0005-0000-0000-0000F2050000}"/>
    <cellStyle name="계산 13" xfId="1524" xr:uid="{00000000-0005-0000-0000-0000F3050000}"/>
    <cellStyle name="계산 14" xfId="1525" xr:uid="{00000000-0005-0000-0000-0000F4050000}"/>
    <cellStyle name="계산 15" xfId="1526" xr:uid="{00000000-0005-0000-0000-0000F5050000}"/>
    <cellStyle name="계산 16" xfId="1527" xr:uid="{00000000-0005-0000-0000-0000F6050000}"/>
    <cellStyle name="계산 17" xfId="1528" xr:uid="{00000000-0005-0000-0000-0000F7050000}"/>
    <cellStyle name="계산 18" xfId="1529" xr:uid="{00000000-0005-0000-0000-0000F8050000}"/>
    <cellStyle name="계산 19" xfId="1530" xr:uid="{00000000-0005-0000-0000-0000F9050000}"/>
    <cellStyle name="계산 2" xfId="1531" xr:uid="{00000000-0005-0000-0000-0000FA050000}"/>
    <cellStyle name="계산 2 2" xfId="1532" xr:uid="{00000000-0005-0000-0000-0000FB050000}"/>
    <cellStyle name="계산 2 3" xfId="1533" xr:uid="{00000000-0005-0000-0000-0000FC050000}"/>
    <cellStyle name="계산 20" xfId="1534" xr:uid="{00000000-0005-0000-0000-0000FD050000}"/>
    <cellStyle name="계산 21" xfId="1535" xr:uid="{00000000-0005-0000-0000-0000FE050000}"/>
    <cellStyle name="계산 22" xfId="1536" xr:uid="{00000000-0005-0000-0000-0000FF050000}"/>
    <cellStyle name="계산 23" xfId="1537" xr:uid="{00000000-0005-0000-0000-000000060000}"/>
    <cellStyle name="계산 24" xfId="1538" xr:uid="{00000000-0005-0000-0000-000001060000}"/>
    <cellStyle name="계산 25" xfId="1539" xr:uid="{00000000-0005-0000-0000-000002060000}"/>
    <cellStyle name="계산 26" xfId="1540" xr:uid="{00000000-0005-0000-0000-000003060000}"/>
    <cellStyle name="계산 27" xfId="1541" xr:uid="{00000000-0005-0000-0000-000004060000}"/>
    <cellStyle name="계산 3" xfId="1542" xr:uid="{00000000-0005-0000-0000-000005060000}"/>
    <cellStyle name="계산 3 2" xfId="1543" xr:uid="{00000000-0005-0000-0000-000006060000}"/>
    <cellStyle name="계산 3 3" xfId="1544" xr:uid="{00000000-0005-0000-0000-000007060000}"/>
    <cellStyle name="계산 3 4" xfId="1545" xr:uid="{00000000-0005-0000-0000-000008060000}"/>
    <cellStyle name="계산 3 5" xfId="1546" xr:uid="{00000000-0005-0000-0000-000009060000}"/>
    <cellStyle name="계산 3 6" xfId="1547" xr:uid="{00000000-0005-0000-0000-00000A060000}"/>
    <cellStyle name="계산 3 7" xfId="1548" xr:uid="{00000000-0005-0000-0000-00000B060000}"/>
    <cellStyle name="계산 4" xfId="1549" xr:uid="{00000000-0005-0000-0000-00000C060000}"/>
    <cellStyle name="계산 4 2" xfId="1550" xr:uid="{00000000-0005-0000-0000-00000D060000}"/>
    <cellStyle name="계산 4 3" xfId="1551" xr:uid="{00000000-0005-0000-0000-00000E060000}"/>
    <cellStyle name="계산 4 4" xfId="1552" xr:uid="{00000000-0005-0000-0000-00000F060000}"/>
    <cellStyle name="계산 5" xfId="1553" xr:uid="{00000000-0005-0000-0000-000010060000}"/>
    <cellStyle name="계산 6" xfId="1554" xr:uid="{00000000-0005-0000-0000-000011060000}"/>
    <cellStyle name="계산 7" xfId="1555" xr:uid="{00000000-0005-0000-0000-000012060000}"/>
    <cellStyle name="계산 8" xfId="1556" xr:uid="{00000000-0005-0000-0000-000013060000}"/>
    <cellStyle name="계산 9" xfId="1557" xr:uid="{00000000-0005-0000-0000-000014060000}"/>
    <cellStyle name="고정소숫점" xfId="1558" xr:uid="{00000000-0005-0000-0000-000015060000}"/>
    <cellStyle name="고정소숫점 2" xfId="1559" xr:uid="{00000000-0005-0000-0000-000016060000}"/>
    <cellStyle name="고정출력1" xfId="1560" xr:uid="{00000000-0005-0000-0000-000017060000}"/>
    <cellStyle name="고정출력2" xfId="1561" xr:uid="{00000000-0005-0000-0000-000018060000}"/>
    <cellStyle name="공사원가계산서(조경)" xfId="1562" xr:uid="{00000000-0005-0000-0000-000019060000}"/>
    <cellStyle name="금액" xfId="1563" xr:uid="{00000000-0005-0000-0000-00001A060000}"/>
    <cellStyle name="나쁨" xfId="1564" builtinId="27" customBuiltin="1"/>
    <cellStyle name="나쁨 10" xfId="1565" xr:uid="{00000000-0005-0000-0000-00001C060000}"/>
    <cellStyle name="나쁨 11" xfId="1566" xr:uid="{00000000-0005-0000-0000-00001D060000}"/>
    <cellStyle name="나쁨 12" xfId="1567" xr:uid="{00000000-0005-0000-0000-00001E060000}"/>
    <cellStyle name="나쁨 13" xfId="1568" xr:uid="{00000000-0005-0000-0000-00001F060000}"/>
    <cellStyle name="나쁨 14" xfId="1569" xr:uid="{00000000-0005-0000-0000-000020060000}"/>
    <cellStyle name="나쁨 15" xfId="1570" xr:uid="{00000000-0005-0000-0000-000021060000}"/>
    <cellStyle name="나쁨 16" xfId="1571" xr:uid="{00000000-0005-0000-0000-000022060000}"/>
    <cellStyle name="나쁨 17" xfId="1572" xr:uid="{00000000-0005-0000-0000-000023060000}"/>
    <cellStyle name="나쁨 18" xfId="1573" xr:uid="{00000000-0005-0000-0000-000024060000}"/>
    <cellStyle name="나쁨 19" xfId="1574" xr:uid="{00000000-0005-0000-0000-000025060000}"/>
    <cellStyle name="나쁨 2" xfId="1575" xr:uid="{00000000-0005-0000-0000-000026060000}"/>
    <cellStyle name="나쁨 2 2" xfId="1576" xr:uid="{00000000-0005-0000-0000-000027060000}"/>
    <cellStyle name="나쁨 2 3" xfId="1577" xr:uid="{00000000-0005-0000-0000-000028060000}"/>
    <cellStyle name="나쁨 20" xfId="1578" xr:uid="{00000000-0005-0000-0000-000029060000}"/>
    <cellStyle name="나쁨 21" xfId="1579" xr:uid="{00000000-0005-0000-0000-00002A060000}"/>
    <cellStyle name="나쁨 22" xfId="1580" xr:uid="{00000000-0005-0000-0000-00002B060000}"/>
    <cellStyle name="나쁨 23" xfId="1581" xr:uid="{00000000-0005-0000-0000-00002C060000}"/>
    <cellStyle name="나쁨 24" xfId="1582" xr:uid="{00000000-0005-0000-0000-00002D060000}"/>
    <cellStyle name="나쁨 25" xfId="1583" xr:uid="{00000000-0005-0000-0000-00002E060000}"/>
    <cellStyle name="나쁨 26" xfId="1584" xr:uid="{00000000-0005-0000-0000-00002F060000}"/>
    <cellStyle name="나쁨 27" xfId="1585" xr:uid="{00000000-0005-0000-0000-000030060000}"/>
    <cellStyle name="나쁨 3" xfId="1586" xr:uid="{00000000-0005-0000-0000-000031060000}"/>
    <cellStyle name="나쁨 3 2" xfId="1587" xr:uid="{00000000-0005-0000-0000-000032060000}"/>
    <cellStyle name="나쁨 3 3" xfId="1588" xr:uid="{00000000-0005-0000-0000-000033060000}"/>
    <cellStyle name="나쁨 3 4" xfId="1589" xr:uid="{00000000-0005-0000-0000-000034060000}"/>
    <cellStyle name="나쁨 3 5" xfId="1590" xr:uid="{00000000-0005-0000-0000-000035060000}"/>
    <cellStyle name="나쁨 3 6" xfId="1591" xr:uid="{00000000-0005-0000-0000-000036060000}"/>
    <cellStyle name="나쁨 3 7" xfId="1592" xr:uid="{00000000-0005-0000-0000-000037060000}"/>
    <cellStyle name="나쁨 4" xfId="1593" xr:uid="{00000000-0005-0000-0000-000038060000}"/>
    <cellStyle name="나쁨 4 2" xfId="1594" xr:uid="{00000000-0005-0000-0000-000039060000}"/>
    <cellStyle name="나쁨 4 3" xfId="1595" xr:uid="{00000000-0005-0000-0000-00003A060000}"/>
    <cellStyle name="나쁨 4 4" xfId="1596" xr:uid="{00000000-0005-0000-0000-00003B060000}"/>
    <cellStyle name="나쁨 5" xfId="1597" xr:uid="{00000000-0005-0000-0000-00003C060000}"/>
    <cellStyle name="나쁨 6" xfId="1598" xr:uid="{00000000-0005-0000-0000-00003D060000}"/>
    <cellStyle name="나쁨 7" xfId="1599" xr:uid="{00000000-0005-0000-0000-00003E060000}"/>
    <cellStyle name="나쁨 8" xfId="1600" xr:uid="{00000000-0005-0000-0000-00003F060000}"/>
    <cellStyle name="나쁨 9" xfId="1601" xr:uid="{00000000-0005-0000-0000-000040060000}"/>
    <cellStyle name="날짜" xfId="1602" xr:uid="{00000000-0005-0000-0000-000041060000}"/>
    <cellStyle name="내역서" xfId="1603" xr:uid="{00000000-0005-0000-0000-000042060000}"/>
    <cellStyle name="단위" xfId="1604" xr:uid="{00000000-0005-0000-0000-000043060000}"/>
    <cellStyle name="달러" xfId="1605" xr:uid="{00000000-0005-0000-0000-000044060000}"/>
    <cellStyle name="'도급대비&quot;표준" xfId="1606" xr:uid="{00000000-0005-0000-0000-000045060000}"/>
    <cellStyle name="㼿" xfId="1607" xr:uid="{00000000-0005-0000-0000-000046060000}"/>
    <cellStyle name="㼿?" xfId="1608" xr:uid="{00000000-0005-0000-0000-000047060000}"/>
    <cellStyle name="㼿㼿" xfId="1609" xr:uid="{00000000-0005-0000-0000-000048060000}"/>
    <cellStyle name="㼿㼿?" xfId="1610" xr:uid="{00000000-0005-0000-0000-000049060000}"/>
    <cellStyle name="㼿㼿㼿" xfId="1611" xr:uid="{00000000-0005-0000-0000-00004A060000}"/>
    <cellStyle name="㼿㼿㼿㼿㼿" xfId="1612" xr:uid="{00000000-0005-0000-0000-00004B060000}"/>
    <cellStyle name="뒤에 오는 하이퍼링크_가시설평균길이산출근거" xfId="1613" xr:uid="{00000000-0005-0000-0000-00004C060000}"/>
    <cellStyle name="똿뗦먛귟 [0.00]_PRODUCT DETAIL Q1" xfId="1614" xr:uid="{00000000-0005-0000-0000-00004D060000}"/>
    <cellStyle name="똿뗦먛귟_PRODUCT DETAIL Q1" xfId="1615" xr:uid="{00000000-0005-0000-0000-00004E060000}"/>
    <cellStyle name="메모" xfId="1616" builtinId="10" customBuiltin="1"/>
    <cellStyle name="메모 10" xfId="1617" xr:uid="{00000000-0005-0000-0000-000050060000}"/>
    <cellStyle name="메모 10 10" xfId="1618" xr:uid="{00000000-0005-0000-0000-000051060000}"/>
    <cellStyle name="메모 10 2" xfId="1619" xr:uid="{00000000-0005-0000-0000-000052060000}"/>
    <cellStyle name="메모 10 3" xfId="1620" xr:uid="{00000000-0005-0000-0000-000053060000}"/>
    <cellStyle name="메모 10 4" xfId="1621" xr:uid="{00000000-0005-0000-0000-000054060000}"/>
    <cellStyle name="메모 10 5" xfId="1622" xr:uid="{00000000-0005-0000-0000-000055060000}"/>
    <cellStyle name="메모 10 6" xfId="1623" xr:uid="{00000000-0005-0000-0000-000056060000}"/>
    <cellStyle name="메모 10 7" xfId="1624" xr:uid="{00000000-0005-0000-0000-000057060000}"/>
    <cellStyle name="메모 10 8" xfId="1625" xr:uid="{00000000-0005-0000-0000-000058060000}"/>
    <cellStyle name="메모 10 9" xfId="1626" xr:uid="{00000000-0005-0000-0000-000059060000}"/>
    <cellStyle name="메모 11" xfId="1627" xr:uid="{00000000-0005-0000-0000-00005A060000}"/>
    <cellStyle name="메모 11 10" xfId="1628" xr:uid="{00000000-0005-0000-0000-00005B060000}"/>
    <cellStyle name="메모 11 2" xfId="1629" xr:uid="{00000000-0005-0000-0000-00005C060000}"/>
    <cellStyle name="메모 11 3" xfId="1630" xr:uid="{00000000-0005-0000-0000-00005D060000}"/>
    <cellStyle name="메모 11 4" xfId="1631" xr:uid="{00000000-0005-0000-0000-00005E060000}"/>
    <cellStyle name="메모 11 5" xfId="1632" xr:uid="{00000000-0005-0000-0000-00005F060000}"/>
    <cellStyle name="메모 11 6" xfId="1633" xr:uid="{00000000-0005-0000-0000-000060060000}"/>
    <cellStyle name="메모 11 7" xfId="1634" xr:uid="{00000000-0005-0000-0000-000061060000}"/>
    <cellStyle name="메모 11 8" xfId="1635" xr:uid="{00000000-0005-0000-0000-000062060000}"/>
    <cellStyle name="메모 11 9" xfId="1636" xr:uid="{00000000-0005-0000-0000-000063060000}"/>
    <cellStyle name="메모 12" xfId="1637" xr:uid="{00000000-0005-0000-0000-000064060000}"/>
    <cellStyle name="메모 12 10" xfId="1638" xr:uid="{00000000-0005-0000-0000-000065060000}"/>
    <cellStyle name="메모 12 2" xfId="1639" xr:uid="{00000000-0005-0000-0000-000066060000}"/>
    <cellStyle name="메모 12 3" xfId="1640" xr:uid="{00000000-0005-0000-0000-000067060000}"/>
    <cellStyle name="메모 12 4" xfId="1641" xr:uid="{00000000-0005-0000-0000-000068060000}"/>
    <cellStyle name="메모 12 5" xfId="1642" xr:uid="{00000000-0005-0000-0000-000069060000}"/>
    <cellStyle name="메모 12 6" xfId="1643" xr:uid="{00000000-0005-0000-0000-00006A060000}"/>
    <cellStyle name="메모 12 7" xfId="1644" xr:uid="{00000000-0005-0000-0000-00006B060000}"/>
    <cellStyle name="메모 12 8" xfId="1645" xr:uid="{00000000-0005-0000-0000-00006C060000}"/>
    <cellStyle name="메모 12 9" xfId="1646" xr:uid="{00000000-0005-0000-0000-00006D060000}"/>
    <cellStyle name="메모 13" xfId="1647" xr:uid="{00000000-0005-0000-0000-00006E060000}"/>
    <cellStyle name="메모 13 10" xfId="1648" xr:uid="{00000000-0005-0000-0000-00006F060000}"/>
    <cellStyle name="메모 13 2" xfId="1649" xr:uid="{00000000-0005-0000-0000-000070060000}"/>
    <cellStyle name="메모 13 3" xfId="1650" xr:uid="{00000000-0005-0000-0000-000071060000}"/>
    <cellStyle name="메모 13 4" xfId="1651" xr:uid="{00000000-0005-0000-0000-000072060000}"/>
    <cellStyle name="메모 13 5" xfId="1652" xr:uid="{00000000-0005-0000-0000-000073060000}"/>
    <cellStyle name="메모 13 6" xfId="1653" xr:uid="{00000000-0005-0000-0000-000074060000}"/>
    <cellStyle name="메모 13 7" xfId="1654" xr:uid="{00000000-0005-0000-0000-000075060000}"/>
    <cellStyle name="메모 13 8" xfId="1655" xr:uid="{00000000-0005-0000-0000-000076060000}"/>
    <cellStyle name="메모 13 9" xfId="1656" xr:uid="{00000000-0005-0000-0000-000077060000}"/>
    <cellStyle name="메모 14" xfId="1657" xr:uid="{00000000-0005-0000-0000-000078060000}"/>
    <cellStyle name="메모 14 10" xfId="1658" xr:uid="{00000000-0005-0000-0000-000079060000}"/>
    <cellStyle name="메모 14 2" xfId="1659" xr:uid="{00000000-0005-0000-0000-00007A060000}"/>
    <cellStyle name="메모 14 3" xfId="1660" xr:uid="{00000000-0005-0000-0000-00007B060000}"/>
    <cellStyle name="메모 14 4" xfId="1661" xr:uid="{00000000-0005-0000-0000-00007C060000}"/>
    <cellStyle name="메모 14 5" xfId="1662" xr:uid="{00000000-0005-0000-0000-00007D060000}"/>
    <cellStyle name="메모 14 6" xfId="1663" xr:uid="{00000000-0005-0000-0000-00007E060000}"/>
    <cellStyle name="메모 14 7" xfId="1664" xr:uid="{00000000-0005-0000-0000-00007F060000}"/>
    <cellStyle name="메모 14 8" xfId="1665" xr:uid="{00000000-0005-0000-0000-000080060000}"/>
    <cellStyle name="메모 14 9" xfId="1666" xr:uid="{00000000-0005-0000-0000-000081060000}"/>
    <cellStyle name="메모 15" xfId="1667" xr:uid="{00000000-0005-0000-0000-000082060000}"/>
    <cellStyle name="메모 15 10" xfId="1668" xr:uid="{00000000-0005-0000-0000-000083060000}"/>
    <cellStyle name="메모 15 2" xfId="1669" xr:uid="{00000000-0005-0000-0000-000084060000}"/>
    <cellStyle name="메모 15 3" xfId="1670" xr:uid="{00000000-0005-0000-0000-000085060000}"/>
    <cellStyle name="메모 15 4" xfId="1671" xr:uid="{00000000-0005-0000-0000-000086060000}"/>
    <cellStyle name="메모 15 5" xfId="1672" xr:uid="{00000000-0005-0000-0000-000087060000}"/>
    <cellStyle name="메모 15 6" xfId="1673" xr:uid="{00000000-0005-0000-0000-000088060000}"/>
    <cellStyle name="메모 15 7" xfId="1674" xr:uid="{00000000-0005-0000-0000-000089060000}"/>
    <cellStyle name="메모 15 8" xfId="1675" xr:uid="{00000000-0005-0000-0000-00008A060000}"/>
    <cellStyle name="메모 15 9" xfId="1676" xr:uid="{00000000-0005-0000-0000-00008B060000}"/>
    <cellStyle name="메모 16" xfId="1677" xr:uid="{00000000-0005-0000-0000-00008C060000}"/>
    <cellStyle name="메모 16 10" xfId="1678" xr:uid="{00000000-0005-0000-0000-00008D060000}"/>
    <cellStyle name="메모 16 2" xfId="1679" xr:uid="{00000000-0005-0000-0000-00008E060000}"/>
    <cellStyle name="메모 16 3" xfId="1680" xr:uid="{00000000-0005-0000-0000-00008F060000}"/>
    <cellStyle name="메모 16 4" xfId="1681" xr:uid="{00000000-0005-0000-0000-000090060000}"/>
    <cellStyle name="메모 16 5" xfId="1682" xr:uid="{00000000-0005-0000-0000-000091060000}"/>
    <cellStyle name="메모 16 6" xfId="1683" xr:uid="{00000000-0005-0000-0000-000092060000}"/>
    <cellStyle name="메모 16 7" xfId="1684" xr:uid="{00000000-0005-0000-0000-000093060000}"/>
    <cellStyle name="메모 16 8" xfId="1685" xr:uid="{00000000-0005-0000-0000-000094060000}"/>
    <cellStyle name="메모 16 9" xfId="1686" xr:uid="{00000000-0005-0000-0000-000095060000}"/>
    <cellStyle name="메모 17" xfId="1687" xr:uid="{00000000-0005-0000-0000-000096060000}"/>
    <cellStyle name="메모 17 10" xfId="1688" xr:uid="{00000000-0005-0000-0000-000097060000}"/>
    <cellStyle name="메모 17 2" xfId="1689" xr:uid="{00000000-0005-0000-0000-000098060000}"/>
    <cellStyle name="메모 17 3" xfId="1690" xr:uid="{00000000-0005-0000-0000-000099060000}"/>
    <cellStyle name="메모 17 4" xfId="1691" xr:uid="{00000000-0005-0000-0000-00009A060000}"/>
    <cellStyle name="메모 17 5" xfId="1692" xr:uid="{00000000-0005-0000-0000-00009B060000}"/>
    <cellStyle name="메모 17 6" xfId="1693" xr:uid="{00000000-0005-0000-0000-00009C060000}"/>
    <cellStyle name="메모 17 7" xfId="1694" xr:uid="{00000000-0005-0000-0000-00009D060000}"/>
    <cellStyle name="메모 17 8" xfId="1695" xr:uid="{00000000-0005-0000-0000-00009E060000}"/>
    <cellStyle name="메모 17 9" xfId="1696" xr:uid="{00000000-0005-0000-0000-00009F060000}"/>
    <cellStyle name="메모 18" xfId="1697" xr:uid="{00000000-0005-0000-0000-0000A0060000}"/>
    <cellStyle name="메모 18 2" xfId="1698" xr:uid="{00000000-0005-0000-0000-0000A1060000}"/>
    <cellStyle name="메모 18 3" xfId="1699" xr:uid="{00000000-0005-0000-0000-0000A2060000}"/>
    <cellStyle name="메모 19" xfId="1700" xr:uid="{00000000-0005-0000-0000-0000A3060000}"/>
    <cellStyle name="메모 19 2" xfId="1701" xr:uid="{00000000-0005-0000-0000-0000A4060000}"/>
    <cellStyle name="메모 19 3" xfId="1702" xr:uid="{00000000-0005-0000-0000-0000A5060000}"/>
    <cellStyle name="메모 19 4" xfId="1703" xr:uid="{00000000-0005-0000-0000-0000A6060000}"/>
    <cellStyle name="메모 19 5" xfId="1704" xr:uid="{00000000-0005-0000-0000-0000A7060000}"/>
    <cellStyle name="메모 19 6" xfId="1705" xr:uid="{00000000-0005-0000-0000-0000A8060000}"/>
    <cellStyle name="메모 19 7" xfId="1706" xr:uid="{00000000-0005-0000-0000-0000A9060000}"/>
    <cellStyle name="메모 2" xfId="1707" xr:uid="{00000000-0005-0000-0000-0000AA060000}"/>
    <cellStyle name="메모 2 10" xfId="1708" xr:uid="{00000000-0005-0000-0000-0000AB060000}"/>
    <cellStyle name="메모 2 11" xfId="1709" xr:uid="{00000000-0005-0000-0000-0000AC060000}"/>
    <cellStyle name="메모 2 12" xfId="1710" xr:uid="{00000000-0005-0000-0000-0000AD060000}"/>
    <cellStyle name="메모 2 13" xfId="1711" xr:uid="{00000000-0005-0000-0000-0000AE060000}"/>
    <cellStyle name="메모 2 14" xfId="1712" xr:uid="{00000000-0005-0000-0000-0000AF060000}"/>
    <cellStyle name="메모 2 15" xfId="1713" xr:uid="{00000000-0005-0000-0000-0000B0060000}"/>
    <cellStyle name="메모 2 16" xfId="1714" xr:uid="{00000000-0005-0000-0000-0000B1060000}"/>
    <cellStyle name="메모 2 17" xfId="1715" xr:uid="{00000000-0005-0000-0000-0000B2060000}"/>
    <cellStyle name="메모 2 18" xfId="1716" xr:uid="{00000000-0005-0000-0000-0000B3060000}"/>
    <cellStyle name="메모 2 19" xfId="1717" xr:uid="{00000000-0005-0000-0000-0000B4060000}"/>
    <cellStyle name="메모 2 2" xfId="1718" xr:uid="{00000000-0005-0000-0000-0000B5060000}"/>
    <cellStyle name="메모 2 20" xfId="1719" xr:uid="{00000000-0005-0000-0000-0000B6060000}"/>
    <cellStyle name="메모 2 21" xfId="1720" xr:uid="{00000000-0005-0000-0000-0000B7060000}"/>
    <cellStyle name="메모 2 22" xfId="1721" xr:uid="{00000000-0005-0000-0000-0000B8060000}"/>
    <cellStyle name="메모 2 23" xfId="1722" xr:uid="{00000000-0005-0000-0000-0000B9060000}"/>
    <cellStyle name="메모 2 24" xfId="1723" xr:uid="{00000000-0005-0000-0000-0000BA060000}"/>
    <cellStyle name="메모 2 25" xfId="1724" xr:uid="{00000000-0005-0000-0000-0000BB060000}"/>
    <cellStyle name="메모 2 3" xfId="1725" xr:uid="{00000000-0005-0000-0000-0000BC060000}"/>
    <cellStyle name="메모 2 4" xfId="1726" xr:uid="{00000000-0005-0000-0000-0000BD060000}"/>
    <cellStyle name="메모 2 5" xfId="1727" xr:uid="{00000000-0005-0000-0000-0000BE060000}"/>
    <cellStyle name="메모 2 6" xfId="1728" xr:uid="{00000000-0005-0000-0000-0000BF060000}"/>
    <cellStyle name="메모 2 7" xfId="1729" xr:uid="{00000000-0005-0000-0000-0000C0060000}"/>
    <cellStyle name="메모 2 8" xfId="1730" xr:uid="{00000000-0005-0000-0000-0000C1060000}"/>
    <cellStyle name="메모 2 9" xfId="1731" xr:uid="{00000000-0005-0000-0000-0000C2060000}"/>
    <cellStyle name="메모 20" xfId="1732" xr:uid="{00000000-0005-0000-0000-0000C3060000}"/>
    <cellStyle name="메모 21" xfId="1733" xr:uid="{00000000-0005-0000-0000-0000C4060000}"/>
    <cellStyle name="메모 22" xfId="1734" xr:uid="{00000000-0005-0000-0000-0000C5060000}"/>
    <cellStyle name="메모 23" xfId="1735" xr:uid="{00000000-0005-0000-0000-0000C6060000}"/>
    <cellStyle name="메모 24" xfId="1736" xr:uid="{00000000-0005-0000-0000-0000C7060000}"/>
    <cellStyle name="메모 25" xfId="1737" xr:uid="{00000000-0005-0000-0000-0000C8060000}"/>
    <cellStyle name="메모 26" xfId="1738" xr:uid="{00000000-0005-0000-0000-0000C9060000}"/>
    <cellStyle name="메모 27" xfId="1739" xr:uid="{00000000-0005-0000-0000-0000CA060000}"/>
    <cellStyle name="메모 28" xfId="1740" xr:uid="{00000000-0005-0000-0000-0000CB060000}"/>
    <cellStyle name="메모 29" xfId="1741" xr:uid="{00000000-0005-0000-0000-0000CC060000}"/>
    <cellStyle name="메모 3" xfId="1742" xr:uid="{00000000-0005-0000-0000-0000CD060000}"/>
    <cellStyle name="메모 3 10" xfId="1743" xr:uid="{00000000-0005-0000-0000-0000CE060000}"/>
    <cellStyle name="메모 3 11" xfId="1744" xr:uid="{00000000-0005-0000-0000-0000CF060000}"/>
    <cellStyle name="메모 3 2" xfId="1745" xr:uid="{00000000-0005-0000-0000-0000D0060000}"/>
    <cellStyle name="메모 3 3" xfId="1746" xr:uid="{00000000-0005-0000-0000-0000D1060000}"/>
    <cellStyle name="메모 3 4" xfId="1747" xr:uid="{00000000-0005-0000-0000-0000D2060000}"/>
    <cellStyle name="메모 3 5" xfId="1748" xr:uid="{00000000-0005-0000-0000-0000D3060000}"/>
    <cellStyle name="메모 3 6" xfId="1749" xr:uid="{00000000-0005-0000-0000-0000D4060000}"/>
    <cellStyle name="메모 3 7" xfId="1750" xr:uid="{00000000-0005-0000-0000-0000D5060000}"/>
    <cellStyle name="메모 3 8" xfId="1751" xr:uid="{00000000-0005-0000-0000-0000D6060000}"/>
    <cellStyle name="메모 3 9" xfId="1752" xr:uid="{00000000-0005-0000-0000-0000D7060000}"/>
    <cellStyle name="메모 4" xfId="1753" xr:uid="{00000000-0005-0000-0000-0000D8060000}"/>
    <cellStyle name="메모 4 10" xfId="1754" xr:uid="{00000000-0005-0000-0000-0000D9060000}"/>
    <cellStyle name="메모 4 11" xfId="1755" xr:uid="{00000000-0005-0000-0000-0000DA060000}"/>
    <cellStyle name="메모 4 2" xfId="1756" xr:uid="{00000000-0005-0000-0000-0000DB060000}"/>
    <cellStyle name="메모 4 3" xfId="1757" xr:uid="{00000000-0005-0000-0000-0000DC060000}"/>
    <cellStyle name="메모 4 4" xfId="1758" xr:uid="{00000000-0005-0000-0000-0000DD060000}"/>
    <cellStyle name="메모 4 5" xfId="1759" xr:uid="{00000000-0005-0000-0000-0000DE060000}"/>
    <cellStyle name="메모 4 6" xfId="1760" xr:uid="{00000000-0005-0000-0000-0000DF060000}"/>
    <cellStyle name="메모 4 7" xfId="1761" xr:uid="{00000000-0005-0000-0000-0000E0060000}"/>
    <cellStyle name="메모 4 8" xfId="1762" xr:uid="{00000000-0005-0000-0000-0000E1060000}"/>
    <cellStyle name="메모 4 9" xfId="1763" xr:uid="{00000000-0005-0000-0000-0000E2060000}"/>
    <cellStyle name="메모 5" xfId="1764" xr:uid="{00000000-0005-0000-0000-0000E3060000}"/>
    <cellStyle name="메모 5 10" xfId="1765" xr:uid="{00000000-0005-0000-0000-0000E4060000}"/>
    <cellStyle name="메모 5 11" xfId="1766" xr:uid="{00000000-0005-0000-0000-0000E5060000}"/>
    <cellStyle name="메모 5 2" xfId="1767" xr:uid="{00000000-0005-0000-0000-0000E6060000}"/>
    <cellStyle name="메모 5 3" xfId="1768" xr:uid="{00000000-0005-0000-0000-0000E7060000}"/>
    <cellStyle name="메모 5 4" xfId="1769" xr:uid="{00000000-0005-0000-0000-0000E8060000}"/>
    <cellStyle name="메모 5 5" xfId="1770" xr:uid="{00000000-0005-0000-0000-0000E9060000}"/>
    <cellStyle name="메모 5 6" xfId="1771" xr:uid="{00000000-0005-0000-0000-0000EA060000}"/>
    <cellStyle name="메모 5 7" xfId="1772" xr:uid="{00000000-0005-0000-0000-0000EB060000}"/>
    <cellStyle name="메모 5 8" xfId="1773" xr:uid="{00000000-0005-0000-0000-0000EC060000}"/>
    <cellStyle name="메모 5 9" xfId="1774" xr:uid="{00000000-0005-0000-0000-0000ED060000}"/>
    <cellStyle name="메모 6" xfId="1775" xr:uid="{00000000-0005-0000-0000-0000EE060000}"/>
    <cellStyle name="메모 6 10" xfId="1776" xr:uid="{00000000-0005-0000-0000-0000EF060000}"/>
    <cellStyle name="메모 6 2" xfId="1777" xr:uid="{00000000-0005-0000-0000-0000F0060000}"/>
    <cellStyle name="메모 6 3" xfId="1778" xr:uid="{00000000-0005-0000-0000-0000F1060000}"/>
    <cellStyle name="메모 6 4" xfId="1779" xr:uid="{00000000-0005-0000-0000-0000F2060000}"/>
    <cellStyle name="메모 6 5" xfId="1780" xr:uid="{00000000-0005-0000-0000-0000F3060000}"/>
    <cellStyle name="메모 6 6" xfId="1781" xr:uid="{00000000-0005-0000-0000-0000F4060000}"/>
    <cellStyle name="메모 6 7" xfId="1782" xr:uid="{00000000-0005-0000-0000-0000F5060000}"/>
    <cellStyle name="메모 6 8" xfId="1783" xr:uid="{00000000-0005-0000-0000-0000F6060000}"/>
    <cellStyle name="메모 6 9" xfId="1784" xr:uid="{00000000-0005-0000-0000-0000F7060000}"/>
    <cellStyle name="메모 7" xfId="1785" xr:uid="{00000000-0005-0000-0000-0000F8060000}"/>
    <cellStyle name="메모 7 10" xfId="1786" xr:uid="{00000000-0005-0000-0000-0000F9060000}"/>
    <cellStyle name="메모 7 2" xfId="1787" xr:uid="{00000000-0005-0000-0000-0000FA060000}"/>
    <cellStyle name="메모 7 3" xfId="1788" xr:uid="{00000000-0005-0000-0000-0000FB060000}"/>
    <cellStyle name="메모 7 4" xfId="1789" xr:uid="{00000000-0005-0000-0000-0000FC060000}"/>
    <cellStyle name="메모 7 5" xfId="1790" xr:uid="{00000000-0005-0000-0000-0000FD060000}"/>
    <cellStyle name="메모 7 6" xfId="1791" xr:uid="{00000000-0005-0000-0000-0000FE060000}"/>
    <cellStyle name="메모 7 7" xfId="1792" xr:uid="{00000000-0005-0000-0000-0000FF060000}"/>
    <cellStyle name="메모 7 8" xfId="1793" xr:uid="{00000000-0005-0000-0000-000000070000}"/>
    <cellStyle name="메모 7 9" xfId="1794" xr:uid="{00000000-0005-0000-0000-000001070000}"/>
    <cellStyle name="메모 8" xfId="1795" xr:uid="{00000000-0005-0000-0000-000002070000}"/>
    <cellStyle name="메모 8 10" xfId="1796" xr:uid="{00000000-0005-0000-0000-000003070000}"/>
    <cellStyle name="메모 8 2" xfId="1797" xr:uid="{00000000-0005-0000-0000-000004070000}"/>
    <cellStyle name="메모 8 3" xfId="1798" xr:uid="{00000000-0005-0000-0000-000005070000}"/>
    <cellStyle name="메모 8 4" xfId="1799" xr:uid="{00000000-0005-0000-0000-000006070000}"/>
    <cellStyle name="메모 8 5" xfId="1800" xr:uid="{00000000-0005-0000-0000-000007070000}"/>
    <cellStyle name="메모 8 6" xfId="1801" xr:uid="{00000000-0005-0000-0000-000008070000}"/>
    <cellStyle name="메모 8 7" xfId="1802" xr:uid="{00000000-0005-0000-0000-000009070000}"/>
    <cellStyle name="메모 8 8" xfId="1803" xr:uid="{00000000-0005-0000-0000-00000A070000}"/>
    <cellStyle name="메모 8 9" xfId="1804" xr:uid="{00000000-0005-0000-0000-00000B070000}"/>
    <cellStyle name="메모 9" xfId="1805" xr:uid="{00000000-0005-0000-0000-00000C070000}"/>
    <cellStyle name="메모 9 10" xfId="1806" xr:uid="{00000000-0005-0000-0000-00000D070000}"/>
    <cellStyle name="메모 9 2" xfId="1807" xr:uid="{00000000-0005-0000-0000-00000E070000}"/>
    <cellStyle name="메모 9 3" xfId="1808" xr:uid="{00000000-0005-0000-0000-00000F070000}"/>
    <cellStyle name="메모 9 4" xfId="1809" xr:uid="{00000000-0005-0000-0000-000010070000}"/>
    <cellStyle name="메모 9 5" xfId="1810" xr:uid="{00000000-0005-0000-0000-000011070000}"/>
    <cellStyle name="메모 9 6" xfId="1811" xr:uid="{00000000-0005-0000-0000-000012070000}"/>
    <cellStyle name="메모 9 7" xfId="1812" xr:uid="{00000000-0005-0000-0000-000013070000}"/>
    <cellStyle name="메모 9 8" xfId="1813" xr:uid="{00000000-0005-0000-0000-000014070000}"/>
    <cellStyle name="메모 9 9" xfId="1814" xr:uid="{00000000-0005-0000-0000-000015070000}"/>
    <cellStyle name="믅됞 [0.00]_PRODUCT DETAIL Q1" xfId="1815" xr:uid="{00000000-0005-0000-0000-000016070000}"/>
    <cellStyle name="믅됞_PRODUCT DETAIL Q1" xfId="1816" xr:uid="{00000000-0005-0000-0000-000017070000}"/>
    <cellStyle name="백분율" xfId="1817" builtinId="5"/>
    <cellStyle name="백분율 [0]" xfId="1818" xr:uid="{00000000-0005-0000-0000-000019070000}"/>
    <cellStyle name="백분율 [2]" xfId="1819" xr:uid="{00000000-0005-0000-0000-00001A070000}"/>
    <cellStyle name="백분율 10" xfId="1820" xr:uid="{00000000-0005-0000-0000-00001B070000}"/>
    <cellStyle name="백분율 11" xfId="1821" xr:uid="{00000000-0005-0000-0000-00001C070000}"/>
    <cellStyle name="백분율 12" xfId="2790" xr:uid="{DC756EA3-44AC-4FAA-A13D-7B37DF1428A6}"/>
    <cellStyle name="백분율 2" xfId="1822" xr:uid="{00000000-0005-0000-0000-00001D070000}"/>
    <cellStyle name="백분율 2 2" xfId="1823" xr:uid="{00000000-0005-0000-0000-00001E070000}"/>
    <cellStyle name="백분율 2 2 2" xfId="1824" xr:uid="{00000000-0005-0000-0000-00001F070000}"/>
    <cellStyle name="백분율 2 2 2 2" xfId="1825" xr:uid="{00000000-0005-0000-0000-000020070000}"/>
    <cellStyle name="백분율 2 2 2 3" xfId="1826" xr:uid="{00000000-0005-0000-0000-000021070000}"/>
    <cellStyle name="백분율 2 2 2 4" xfId="1827" xr:uid="{00000000-0005-0000-0000-000022070000}"/>
    <cellStyle name="백분율 2 2 2 5" xfId="1828" xr:uid="{00000000-0005-0000-0000-000023070000}"/>
    <cellStyle name="백분율 2 2 2 6" xfId="1829" xr:uid="{00000000-0005-0000-0000-000024070000}"/>
    <cellStyle name="백분율 2 3" xfId="1830" xr:uid="{00000000-0005-0000-0000-000025070000}"/>
    <cellStyle name="백분율 2 4" xfId="1831" xr:uid="{00000000-0005-0000-0000-000026070000}"/>
    <cellStyle name="백분율 3" xfId="1832" xr:uid="{00000000-0005-0000-0000-000027070000}"/>
    <cellStyle name="백분율 3 2" xfId="1833" xr:uid="{00000000-0005-0000-0000-000028070000}"/>
    <cellStyle name="백분율 4" xfId="1834" xr:uid="{00000000-0005-0000-0000-000029070000}"/>
    <cellStyle name="백분율 5" xfId="1835" xr:uid="{00000000-0005-0000-0000-00002A070000}"/>
    <cellStyle name="백분율 6" xfId="1836" xr:uid="{00000000-0005-0000-0000-00002B070000}"/>
    <cellStyle name="백분율 7" xfId="1837" xr:uid="{00000000-0005-0000-0000-00002C070000}"/>
    <cellStyle name="백분율 8" xfId="1838" xr:uid="{00000000-0005-0000-0000-00002D070000}"/>
    <cellStyle name="백분율 9" xfId="1839" xr:uid="{00000000-0005-0000-0000-00002E070000}"/>
    <cellStyle name="보통" xfId="1840" builtinId="28" customBuiltin="1"/>
    <cellStyle name="보통 10" xfId="1841" xr:uid="{00000000-0005-0000-0000-000030070000}"/>
    <cellStyle name="보통 11" xfId="1842" xr:uid="{00000000-0005-0000-0000-000031070000}"/>
    <cellStyle name="보통 12" xfId="1843" xr:uid="{00000000-0005-0000-0000-000032070000}"/>
    <cellStyle name="보통 13" xfId="1844" xr:uid="{00000000-0005-0000-0000-000033070000}"/>
    <cellStyle name="보통 14" xfId="1845" xr:uid="{00000000-0005-0000-0000-000034070000}"/>
    <cellStyle name="보통 15" xfId="1846" xr:uid="{00000000-0005-0000-0000-000035070000}"/>
    <cellStyle name="보통 16" xfId="1847" xr:uid="{00000000-0005-0000-0000-000036070000}"/>
    <cellStyle name="보통 17" xfId="1848" xr:uid="{00000000-0005-0000-0000-000037070000}"/>
    <cellStyle name="보통 18" xfId="1849" xr:uid="{00000000-0005-0000-0000-000038070000}"/>
    <cellStyle name="보통 19" xfId="1850" xr:uid="{00000000-0005-0000-0000-000039070000}"/>
    <cellStyle name="보통 2" xfId="1851" xr:uid="{00000000-0005-0000-0000-00003A070000}"/>
    <cellStyle name="보통 2 2" xfId="1852" xr:uid="{00000000-0005-0000-0000-00003B070000}"/>
    <cellStyle name="보통 2 3" xfId="1853" xr:uid="{00000000-0005-0000-0000-00003C070000}"/>
    <cellStyle name="보통 20" xfId="1854" xr:uid="{00000000-0005-0000-0000-00003D070000}"/>
    <cellStyle name="보통 21" xfId="1855" xr:uid="{00000000-0005-0000-0000-00003E070000}"/>
    <cellStyle name="보통 22" xfId="1856" xr:uid="{00000000-0005-0000-0000-00003F070000}"/>
    <cellStyle name="보통 23" xfId="1857" xr:uid="{00000000-0005-0000-0000-000040070000}"/>
    <cellStyle name="보통 24" xfId="1858" xr:uid="{00000000-0005-0000-0000-000041070000}"/>
    <cellStyle name="보통 25" xfId="1859" xr:uid="{00000000-0005-0000-0000-000042070000}"/>
    <cellStyle name="보통 26" xfId="1860" xr:uid="{00000000-0005-0000-0000-000043070000}"/>
    <cellStyle name="보통 27" xfId="1861" xr:uid="{00000000-0005-0000-0000-000044070000}"/>
    <cellStyle name="보통 3" xfId="1862" xr:uid="{00000000-0005-0000-0000-000045070000}"/>
    <cellStyle name="보통 3 2" xfId="1863" xr:uid="{00000000-0005-0000-0000-000046070000}"/>
    <cellStyle name="보통 3 3" xfId="1864" xr:uid="{00000000-0005-0000-0000-000047070000}"/>
    <cellStyle name="보통 3 4" xfId="1865" xr:uid="{00000000-0005-0000-0000-000048070000}"/>
    <cellStyle name="보통 3 5" xfId="1866" xr:uid="{00000000-0005-0000-0000-000049070000}"/>
    <cellStyle name="보통 3 6" xfId="1867" xr:uid="{00000000-0005-0000-0000-00004A070000}"/>
    <cellStyle name="보통 3 7" xfId="1868" xr:uid="{00000000-0005-0000-0000-00004B070000}"/>
    <cellStyle name="보통 4" xfId="1869" xr:uid="{00000000-0005-0000-0000-00004C070000}"/>
    <cellStyle name="보통 4 2" xfId="1870" xr:uid="{00000000-0005-0000-0000-00004D070000}"/>
    <cellStyle name="보통 4 3" xfId="1871" xr:uid="{00000000-0005-0000-0000-00004E070000}"/>
    <cellStyle name="보통 4 4" xfId="1872" xr:uid="{00000000-0005-0000-0000-00004F070000}"/>
    <cellStyle name="보통 5" xfId="1873" xr:uid="{00000000-0005-0000-0000-000050070000}"/>
    <cellStyle name="보통 6" xfId="1874" xr:uid="{00000000-0005-0000-0000-000051070000}"/>
    <cellStyle name="보통 7" xfId="1875" xr:uid="{00000000-0005-0000-0000-000052070000}"/>
    <cellStyle name="보통 8" xfId="1876" xr:uid="{00000000-0005-0000-0000-000053070000}"/>
    <cellStyle name="보통 9" xfId="1877" xr:uid="{00000000-0005-0000-0000-000054070000}"/>
    <cellStyle name="뷭?_BOOKSHIP" xfId="1878" xr:uid="{00000000-0005-0000-0000-000055070000}"/>
    <cellStyle name="설명 텍스트" xfId="1879" builtinId="53" customBuiltin="1"/>
    <cellStyle name="설명 텍스트 10" xfId="1880" xr:uid="{00000000-0005-0000-0000-000057070000}"/>
    <cellStyle name="설명 텍스트 11" xfId="1881" xr:uid="{00000000-0005-0000-0000-000058070000}"/>
    <cellStyle name="설명 텍스트 12" xfId="1882" xr:uid="{00000000-0005-0000-0000-000059070000}"/>
    <cellStyle name="설명 텍스트 13" xfId="1883" xr:uid="{00000000-0005-0000-0000-00005A070000}"/>
    <cellStyle name="설명 텍스트 14" xfId="1884" xr:uid="{00000000-0005-0000-0000-00005B070000}"/>
    <cellStyle name="설명 텍스트 15" xfId="1885" xr:uid="{00000000-0005-0000-0000-00005C070000}"/>
    <cellStyle name="설명 텍스트 16" xfId="1886" xr:uid="{00000000-0005-0000-0000-00005D070000}"/>
    <cellStyle name="설명 텍스트 17" xfId="1887" xr:uid="{00000000-0005-0000-0000-00005E070000}"/>
    <cellStyle name="설명 텍스트 18" xfId="1888" xr:uid="{00000000-0005-0000-0000-00005F070000}"/>
    <cellStyle name="설명 텍스트 19" xfId="1889" xr:uid="{00000000-0005-0000-0000-000060070000}"/>
    <cellStyle name="설명 텍스트 2" xfId="1890" xr:uid="{00000000-0005-0000-0000-000061070000}"/>
    <cellStyle name="설명 텍스트 2 2" xfId="1891" xr:uid="{00000000-0005-0000-0000-000062070000}"/>
    <cellStyle name="설명 텍스트 2 3" xfId="1892" xr:uid="{00000000-0005-0000-0000-000063070000}"/>
    <cellStyle name="설명 텍스트 20" xfId="1893" xr:uid="{00000000-0005-0000-0000-000064070000}"/>
    <cellStyle name="설명 텍스트 21" xfId="1894" xr:uid="{00000000-0005-0000-0000-000065070000}"/>
    <cellStyle name="설명 텍스트 22" xfId="1895" xr:uid="{00000000-0005-0000-0000-000066070000}"/>
    <cellStyle name="설명 텍스트 23" xfId="1896" xr:uid="{00000000-0005-0000-0000-000067070000}"/>
    <cellStyle name="설명 텍스트 24" xfId="1897" xr:uid="{00000000-0005-0000-0000-000068070000}"/>
    <cellStyle name="설명 텍스트 25" xfId="1898" xr:uid="{00000000-0005-0000-0000-000069070000}"/>
    <cellStyle name="설명 텍스트 26" xfId="1899" xr:uid="{00000000-0005-0000-0000-00006A070000}"/>
    <cellStyle name="설명 텍스트 27" xfId="1900" xr:uid="{00000000-0005-0000-0000-00006B070000}"/>
    <cellStyle name="설명 텍스트 3" xfId="1901" xr:uid="{00000000-0005-0000-0000-00006C070000}"/>
    <cellStyle name="설명 텍스트 3 2" xfId="1902" xr:uid="{00000000-0005-0000-0000-00006D070000}"/>
    <cellStyle name="설명 텍스트 3 3" xfId="1903" xr:uid="{00000000-0005-0000-0000-00006E070000}"/>
    <cellStyle name="설명 텍스트 3 4" xfId="1904" xr:uid="{00000000-0005-0000-0000-00006F070000}"/>
    <cellStyle name="설명 텍스트 3 5" xfId="1905" xr:uid="{00000000-0005-0000-0000-000070070000}"/>
    <cellStyle name="설명 텍스트 3 6" xfId="1906" xr:uid="{00000000-0005-0000-0000-000071070000}"/>
    <cellStyle name="설명 텍스트 3 7" xfId="1907" xr:uid="{00000000-0005-0000-0000-000072070000}"/>
    <cellStyle name="설명 텍스트 4" xfId="1908" xr:uid="{00000000-0005-0000-0000-000073070000}"/>
    <cellStyle name="설명 텍스트 4 2" xfId="1909" xr:uid="{00000000-0005-0000-0000-000074070000}"/>
    <cellStyle name="설명 텍스트 4 3" xfId="1910" xr:uid="{00000000-0005-0000-0000-000075070000}"/>
    <cellStyle name="설명 텍스트 4 4" xfId="1911" xr:uid="{00000000-0005-0000-0000-000076070000}"/>
    <cellStyle name="설명 텍스트 5" xfId="1912" xr:uid="{00000000-0005-0000-0000-000077070000}"/>
    <cellStyle name="설명 텍스트 6" xfId="1913" xr:uid="{00000000-0005-0000-0000-000078070000}"/>
    <cellStyle name="설명 텍스트 7" xfId="1914" xr:uid="{00000000-0005-0000-0000-000079070000}"/>
    <cellStyle name="설명 텍스트 8" xfId="1915" xr:uid="{00000000-0005-0000-0000-00007A070000}"/>
    <cellStyle name="설명 텍스트 9" xfId="1916" xr:uid="{00000000-0005-0000-0000-00007B070000}"/>
    <cellStyle name="셀 확인" xfId="1917" builtinId="23" customBuiltin="1"/>
    <cellStyle name="셀 확인 10" xfId="1918" xr:uid="{00000000-0005-0000-0000-00007D070000}"/>
    <cellStyle name="셀 확인 11" xfId="1919" xr:uid="{00000000-0005-0000-0000-00007E070000}"/>
    <cellStyle name="셀 확인 12" xfId="1920" xr:uid="{00000000-0005-0000-0000-00007F070000}"/>
    <cellStyle name="셀 확인 13" xfId="1921" xr:uid="{00000000-0005-0000-0000-000080070000}"/>
    <cellStyle name="셀 확인 14" xfId="1922" xr:uid="{00000000-0005-0000-0000-000081070000}"/>
    <cellStyle name="셀 확인 15" xfId="1923" xr:uid="{00000000-0005-0000-0000-000082070000}"/>
    <cellStyle name="셀 확인 16" xfId="1924" xr:uid="{00000000-0005-0000-0000-000083070000}"/>
    <cellStyle name="셀 확인 17" xfId="1925" xr:uid="{00000000-0005-0000-0000-000084070000}"/>
    <cellStyle name="셀 확인 18" xfId="1926" xr:uid="{00000000-0005-0000-0000-000085070000}"/>
    <cellStyle name="셀 확인 19" xfId="1927" xr:uid="{00000000-0005-0000-0000-000086070000}"/>
    <cellStyle name="셀 확인 2" xfId="1928" xr:uid="{00000000-0005-0000-0000-000087070000}"/>
    <cellStyle name="셀 확인 2 2" xfId="1929" xr:uid="{00000000-0005-0000-0000-000088070000}"/>
    <cellStyle name="셀 확인 2 3" xfId="1930" xr:uid="{00000000-0005-0000-0000-000089070000}"/>
    <cellStyle name="셀 확인 20" xfId="1931" xr:uid="{00000000-0005-0000-0000-00008A070000}"/>
    <cellStyle name="셀 확인 21" xfId="1932" xr:uid="{00000000-0005-0000-0000-00008B070000}"/>
    <cellStyle name="셀 확인 22" xfId="1933" xr:uid="{00000000-0005-0000-0000-00008C070000}"/>
    <cellStyle name="셀 확인 23" xfId="1934" xr:uid="{00000000-0005-0000-0000-00008D070000}"/>
    <cellStyle name="셀 확인 24" xfId="1935" xr:uid="{00000000-0005-0000-0000-00008E070000}"/>
    <cellStyle name="셀 확인 25" xfId="1936" xr:uid="{00000000-0005-0000-0000-00008F070000}"/>
    <cellStyle name="셀 확인 26" xfId="1937" xr:uid="{00000000-0005-0000-0000-000090070000}"/>
    <cellStyle name="셀 확인 27" xfId="1938" xr:uid="{00000000-0005-0000-0000-000091070000}"/>
    <cellStyle name="셀 확인 3" xfId="1939" xr:uid="{00000000-0005-0000-0000-000092070000}"/>
    <cellStyle name="셀 확인 3 2" xfId="1940" xr:uid="{00000000-0005-0000-0000-000093070000}"/>
    <cellStyle name="셀 확인 3 3" xfId="1941" xr:uid="{00000000-0005-0000-0000-000094070000}"/>
    <cellStyle name="셀 확인 3 4" xfId="1942" xr:uid="{00000000-0005-0000-0000-000095070000}"/>
    <cellStyle name="셀 확인 3 5" xfId="1943" xr:uid="{00000000-0005-0000-0000-000096070000}"/>
    <cellStyle name="셀 확인 3 6" xfId="1944" xr:uid="{00000000-0005-0000-0000-000097070000}"/>
    <cellStyle name="셀 확인 3 7" xfId="1945" xr:uid="{00000000-0005-0000-0000-000098070000}"/>
    <cellStyle name="셀 확인 4" xfId="1946" xr:uid="{00000000-0005-0000-0000-000099070000}"/>
    <cellStyle name="셀 확인 4 2" xfId="1947" xr:uid="{00000000-0005-0000-0000-00009A070000}"/>
    <cellStyle name="셀 확인 4 3" xfId="1948" xr:uid="{00000000-0005-0000-0000-00009B070000}"/>
    <cellStyle name="셀 확인 4 4" xfId="1949" xr:uid="{00000000-0005-0000-0000-00009C070000}"/>
    <cellStyle name="셀 확인 5" xfId="1950" xr:uid="{00000000-0005-0000-0000-00009D070000}"/>
    <cellStyle name="셀 확인 6" xfId="1951" xr:uid="{00000000-0005-0000-0000-00009E070000}"/>
    <cellStyle name="셀 확인 7" xfId="1952" xr:uid="{00000000-0005-0000-0000-00009F070000}"/>
    <cellStyle name="셀 확인 8" xfId="1953" xr:uid="{00000000-0005-0000-0000-0000A0070000}"/>
    <cellStyle name="셀 확인 9" xfId="1954" xr:uid="{00000000-0005-0000-0000-0000A1070000}"/>
    <cellStyle name="수량" xfId="1955" xr:uid="{00000000-0005-0000-0000-0000A2070000}"/>
    <cellStyle name="숫자(R)" xfId="1956" xr:uid="{00000000-0005-0000-0000-0000A3070000}"/>
    <cellStyle name="숫자(R) 2" xfId="1957" xr:uid="{00000000-0005-0000-0000-0000A4070000}"/>
    <cellStyle name="쉼표 [0]" xfId="1958" builtinId="6"/>
    <cellStyle name="쉼표 [0] 10" xfId="1959" xr:uid="{00000000-0005-0000-0000-0000A6070000}"/>
    <cellStyle name="쉼표 [0] 10 10" xfId="1960" xr:uid="{00000000-0005-0000-0000-0000A7070000}"/>
    <cellStyle name="쉼표 [0] 10 10 2" xfId="1961" xr:uid="{00000000-0005-0000-0000-0000A8070000}"/>
    <cellStyle name="쉼표 [0] 10 11" xfId="1962" xr:uid="{00000000-0005-0000-0000-0000A9070000}"/>
    <cellStyle name="쉼표 [0] 10 12" xfId="1963" xr:uid="{00000000-0005-0000-0000-0000AA070000}"/>
    <cellStyle name="쉼표 [0] 10 13" xfId="1964" xr:uid="{00000000-0005-0000-0000-0000AB070000}"/>
    <cellStyle name="쉼표 [0] 10 14" xfId="1965" xr:uid="{00000000-0005-0000-0000-0000AC070000}"/>
    <cellStyle name="쉼표 [0] 10 15" xfId="1966" xr:uid="{00000000-0005-0000-0000-0000AD070000}"/>
    <cellStyle name="쉼표 [0] 10 16" xfId="1967" xr:uid="{00000000-0005-0000-0000-0000AE070000}"/>
    <cellStyle name="쉼표 [0] 10 17" xfId="1968" xr:uid="{00000000-0005-0000-0000-0000AF070000}"/>
    <cellStyle name="쉼표 [0] 10 18" xfId="1969" xr:uid="{00000000-0005-0000-0000-0000B0070000}"/>
    <cellStyle name="쉼표 [0] 10 19" xfId="1970" xr:uid="{00000000-0005-0000-0000-0000B1070000}"/>
    <cellStyle name="쉼표 [0] 10 2" xfId="1971" xr:uid="{00000000-0005-0000-0000-0000B2070000}"/>
    <cellStyle name="쉼표 [0] 10 20" xfId="1972" xr:uid="{00000000-0005-0000-0000-0000B3070000}"/>
    <cellStyle name="쉼표 [0] 10 21" xfId="1973" xr:uid="{00000000-0005-0000-0000-0000B4070000}"/>
    <cellStyle name="쉼표 [0] 10 22" xfId="1974" xr:uid="{00000000-0005-0000-0000-0000B5070000}"/>
    <cellStyle name="쉼표 [0] 10 23" xfId="1975" xr:uid="{00000000-0005-0000-0000-0000B6070000}"/>
    <cellStyle name="쉼표 [0] 10 24" xfId="1976" xr:uid="{00000000-0005-0000-0000-0000B7070000}"/>
    <cellStyle name="쉼표 [0] 10 25" xfId="1977" xr:uid="{00000000-0005-0000-0000-0000B8070000}"/>
    <cellStyle name="쉼표 [0] 10 26" xfId="1978" xr:uid="{00000000-0005-0000-0000-0000B9070000}"/>
    <cellStyle name="쉼표 [0] 10 3" xfId="1979" xr:uid="{00000000-0005-0000-0000-0000BA070000}"/>
    <cellStyle name="쉼표 [0] 10 4" xfId="1980" xr:uid="{00000000-0005-0000-0000-0000BB070000}"/>
    <cellStyle name="쉼표 [0] 10 5" xfId="1981" xr:uid="{00000000-0005-0000-0000-0000BC070000}"/>
    <cellStyle name="쉼표 [0] 10 6" xfId="1982" xr:uid="{00000000-0005-0000-0000-0000BD070000}"/>
    <cellStyle name="쉼표 [0] 10 7" xfId="1983" xr:uid="{00000000-0005-0000-0000-0000BE070000}"/>
    <cellStyle name="쉼표 [0] 10 8" xfId="1984" xr:uid="{00000000-0005-0000-0000-0000BF070000}"/>
    <cellStyle name="쉼표 [0] 10 9" xfId="1985" xr:uid="{00000000-0005-0000-0000-0000C0070000}"/>
    <cellStyle name="쉼표 [0] 11" xfId="1986" xr:uid="{00000000-0005-0000-0000-0000C1070000}"/>
    <cellStyle name="쉼표 [0] 11 2" xfId="1987" xr:uid="{00000000-0005-0000-0000-0000C2070000}"/>
    <cellStyle name="쉼표 [0] 11 2 2" xfId="1988" xr:uid="{00000000-0005-0000-0000-0000C3070000}"/>
    <cellStyle name="쉼표 [0] 12" xfId="1989" xr:uid="{00000000-0005-0000-0000-0000C4070000}"/>
    <cellStyle name="쉼표 [0] 12 2" xfId="1990" xr:uid="{00000000-0005-0000-0000-0000C5070000}"/>
    <cellStyle name="쉼표 [0] 13" xfId="1991" xr:uid="{00000000-0005-0000-0000-0000C6070000}"/>
    <cellStyle name="쉼표 [0] 13 2" xfId="1992" xr:uid="{00000000-0005-0000-0000-0000C7070000}"/>
    <cellStyle name="쉼표 [0] 13 2 2" xfId="1993" xr:uid="{00000000-0005-0000-0000-0000C8070000}"/>
    <cellStyle name="쉼표 [0] 13 2 3" xfId="1994" xr:uid="{00000000-0005-0000-0000-0000C9070000}"/>
    <cellStyle name="쉼표 [0] 13 2 4" xfId="1995" xr:uid="{00000000-0005-0000-0000-0000CA070000}"/>
    <cellStyle name="쉼표 [0] 13 2 5" xfId="1996" xr:uid="{00000000-0005-0000-0000-0000CB070000}"/>
    <cellStyle name="쉼표 [0] 13 2 6" xfId="1997" xr:uid="{00000000-0005-0000-0000-0000CC070000}"/>
    <cellStyle name="쉼표 [0] 13 3" xfId="1998" xr:uid="{00000000-0005-0000-0000-0000CD070000}"/>
    <cellStyle name="쉼표 [0] 13 4" xfId="1999" xr:uid="{00000000-0005-0000-0000-0000CE070000}"/>
    <cellStyle name="쉼표 [0] 13 5" xfId="2000" xr:uid="{00000000-0005-0000-0000-0000CF070000}"/>
    <cellStyle name="쉼표 [0] 13 6" xfId="2001" xr:uid="{00000000-0005-0000-0000-0000D0070000}"/>
    <cellStyle name="쉼표 [0] 13 7" xfId="2002" xr:uid="{00000000-0005-0000-0000-0000D1070000}"/>
    <cellStyle name="쉼표 [0] 14" xfId="2003" xr:uid="{00000000-0005-0000-0000-0000D2070000}"/>
    <cellStyle name="쉼표 [0] 14 2" xfId="2004" xr:uid="{00000000-0005-0000-0000-0000D3070000}"/>
    <cellStyle name="쉼표 [0] 14 3" xfId="2005" xr:uid="{00000000-0005-0000-0000-0000D4070000}"/>
    <cellStyle name="쉼표 [0] 14 4" xfId="2006" xr:uid="{00000000-0005-0000-0000-0000D5070000}"/>
    <cellStyle name="쉼표 [0] 14 5" xfId="2007" xr:uid="{00000000-0005-0000-0000-0000D6070000}"/>
    <cellStyle name="쉼표 [0] 14 6" xfId="2008" xr:uid="{00000000-0005-0000-0000-0000D7070000}"/>
    <cellStyle name="쉼표 [0] 15" xfId="2009" xr:uid="{00000000-0005-0000-0000-0000D8070000}"/>
    <cellStyle name="쉼표 [0] 16" xfId="2010" xr:uid="{00000000-0005-0000-0000-0000D9070000}"/>
    <cellStyle name="쉼표 [0] 17" xfId="2011" xr:uid="{00000000-0005-0000-0000-0000DA070000}"/>
    <cellStyle name="쉼표 [0] 18" xfId="2012" xr:uid="{00000000-0005-0000-0000-0000DB070000}"/>
    <cellStyle name="쉼표 [0] 19" xfId="2013" xr:uid="{00000000-0005-0000-0000-0000DC070000}"/>
    <cellStyle name="쉼표 [0] 2" xfId="2014" xr:uid="{00000000-0005-0000-0000-0000DD070000}"/>
    <cellStyle name="쉼표 [0] 2 2" xfId="2015" xr:uid="{00000000-0005-0000-0000-0000DE070000}"/>
    <cellStyle name="쉼표 [0] 2 2 2" xfId="2016" xr:uid="{00000000-0005-0000-0000-0000DF070000}"/>
    <cellStyle name="쉼표 [0] 2 2 3" xfId="2017" xr:uid="{00000000-0005-0000-0000-0000E0070000}"/>
    <cellStyle name="쉼표 [0] 2 3" xfId="2018" xr:uid="{00000000-0005-0000-0000-0000E1070000}"/>
    <cellStyle name="쉼표 [0] 2 4" xfId="2019" xr:uid="{00000000-0005-0000-0000-0000E2070000}"/>
    <cellStyle name="쉼표 [0] 2 5" xfId="2020" xr:uid="{00000000-0005-0000-0000-0000E3070000}"/>
    <cellStyle name="쉼표 [0] 2 6" xfId="2021" xr:uid="{00000000-0005-0000-0000-0000E4070000}"/>
    <cellStyle name="쉼표 [0] 2 7" xfId="2022" xr:uid="{00000000-0005-0000-0000-0000E5070000}"/>
    <cellStyle name="쉼표 [0] 2 8" xfId="2023" xr:uid="{00000000-0005-0000-0000-0000E6070000}"/>
    <cellStyle name="쉼표 [0] 2 9" xfId="2024" xr:uid="{00000000-0005-0000-0000-0000E7070000}"/>
    <cellStyle name="쉼표 [0] 20" xfId="2025" xr:uid="{00000000-0005-0000-0000-0000E8070000}"/>
    <cellStyle name="쉼표 [0] 21" xfId="2026" xr:uid="{00000000-0005-0000-0000-0000E9070000}"/>
    <cellStyle name="쉼표 [0] 22" xfId="2787" xr:uid="{86631C1E-8387-43CA-8FC9-0491D5E856C1}"/>
    <cellStyle name="쉼표 [0] 23" xfId="2789" xr:uid="{F9CC5FFC-14B9-42C3-85D2-68F7C2C3CBC4}"/>
    <cellStyle name="쉼표 [0] 3" xfId="2027" xr:uid="{00000000-0005-0000-0000-0000EA070000}"/>
    <cellStyle name="쉼표 [0] 3 10" xfId="2028" xr:uid="{00000000-0005-0000-0000-0000EB070000}"/>
    <cellStyle name="쉼표 [0] 3 11" xfId="2029" xr:uid="{00000000-0005-0000-0000-0000EC070000}"/>
    <cellStyle name="쉼표 [0] 3 12" xfId="2030" xr:uid="{00000000-0005-0000-0000-0000ED070000}"/>
    <cellStyle name="쉼표 [0] 3 13" xfId="2031" xr:uid="{00000000-0005-0000-0000-0000EE070000}"/>
    <cellStyle name="쉼표 [0] 3 14" xfId="2032" xr:uid="{00000000-0005-0000-0000-0000EF070000}"/>
    <cellStyle name="쉼표 [0] 3 15" xfId="2033" xr:uid="{00000000-0005-0000-0000-0000F0070000}"/>
    <cellStyle name="쉼표 [0] 3 16" xfId="2034" xr:uid="{00000000-0005-0000-0000-0000F1070000}"/>
    <cellStyle name="쉼표 [0] 3 17" xfId="2035" xr:uid="{00000000-0005-0000-0000-0000F2070000}"/>
    <cellStyle name="쉼표 [0] 3 18" xfId="2036" xr:uid="{00000000-0005-0000-0000-0000F3070000}"/>
    <cellStyle name="쉼표 [0] 3 19" xfId="2037" xr:uid="{00000000-0005-0000-0000-0000F4070000}"/>
    <cellStyle name="쉼표 [0] 3 2" xfId="2038" xr:uid="{00000000-0005-0000-0000-0000F5070000}"/>
    <cellStyle name="쉼표 [0] 3 2 2" xfId="2039" xr:uid="{00000000-0005-0000-0000-0000F6070000}"/>
    <cellStyle name="쉼표 [0] 3 2 3" xfId="2040" xr:uid="{00000000-0005-0000-0000-0000F7070000}"/>
    <cellStyle name="쉼표 [0] 3 2 4" xfId="2041" xr:uid="{00000000-0005-0000-0000-0000F8070000}"/>
    <cellStyle name="쉼표 [0] 3 2 5" xfId="2042" xr:uid="{00000000-0005-0000-0000-0000F9070000}"/>
    <cellStyle name="쉼표 [0] 3 2 6" xfId="2043" xr:uid="{00000000-0005-0000-0000-0000FA070000}"/>
    <cellStyle name="쉼표 [0] 3 20" xfId="2044" xr:uid="{00000000-0005-0000-0000-0000FB070000}"/>
    <cellStyle name="쉼표 [0] 3 21" xfId="2045" xr:uid="{00000000-0005-0000-0000-0000FC070000}"/>
    <cellStyle name="쉼표 [0] 3 22" xfId="2046" xr:uid="{00000000-0005-0000-0000-0000FD070000}"/>
    <cellStyle name="쉼표 [0] 3 23" xfId="2047" xr:uid="{00000000-0005-0000-0000-0000FE070000}"/>
    <cellStyle name="쉼표 [0] 3 24" xfId="2048" xr:uid="{00000000-0005-0000-0000-0000FF070000}"/>
    <cellStyle name="쉼표 [0] 3 25" xfId="2049" xr:uid="{00000000-0005-0000-0000-000000080000}"/>
    <cellStyle name="쉼표 [0] 3 3" xfId="2050" xr:uid="{00000000-0005-0000-0000-000001080000}"/>
    <cellStyle name="쉼표 [0] 3 4" xfId="2051" xr:uid="{00000000-0005-0000-0000-000002080000}"/>
    <cellStyle name="쉼표 [0] 3 5" xfId="2052" xr:uid="{00000000-0005-0000-0000-000003080000}"/>
    <cellStyle name="쉼표 [0] 3 6" xfId="2053" xr:uid="{00000000-0005-0000-0000-000004080000}"/>
    <cellStyle name="쉼표 [0] 3 7" xfId="2054" xr:uid="{00000000-0005-0000-0000-000005080000}"/>
    <cellStyle name="쉼표 [0] 3 8" xfId="2055" xr:uid="{00000000-0005-0000-0000-000006080000}"/>
    <cellStyle name="쉼표 [0] 3 9" xfId="2056" xr:uid="{00000000-0005-0000-0000-000007080000}"/>
    <cellStyle name="쉼표 [0] 4" xfId="2057" xr:uid="{00000000-0005-0000-0000-000008080000}"/>
    <cellStyle name="쉼표 [0] 5" xfId="2058" xr:uid="{00000000-0005-0000-0000-000009080000}"/>
    <cellStyle name="쉼표 [0] 6" xfId="2059" xr:uid="{00000000-0005-0000-0000-00000A080000}"/>
    <cellStyle name="쉼표 [0] 7" xfId="2060" xr:uid="{00000000-0005-0000-0000-00000B080000}"/>
    <cellStyle name="쉼표 [0] 8" xfId="2061" xr:uid="{00000000-0005-0000-0000-00000C080000}"/>
    <cellStyle name="쉼표 [0] 9" xfId="2062" xr:uid="{00000000-0005-0000-0000-00000D080000}"/>
    <cellStyle name="스타일 1" xfId="2063" xr:uid="{00000000-0005-0000-0000-00000F080000}"/>
    <cellStyle name="스타일 1 2" xfId="2064" xr:uid="{00000000-0005-0000-0000-000010080000}"/>
    <cellStyle name="스타일 1 3" xfId="2065" xr:uid="{00000000-0005-0000-0000-000011080000}"/>
    <cellStyle name="안건회계법인" xfId="2066" xr:uid="{00000000-0005-0000-0000-000012080000}"/>
    <cellStyle name="연결된 셀" xfId="2067" builtinId="24" customBuiltin="1"/>
    <cellStyle name="연결된 셀 10" xfId="2068" xr:uid="{00000000-0005-0000-0000-000014080000}"/>
    <cellStyle name="연결된 셀 11" xfId="2069" xr:uid="{00000000-0005-0000-0000-000015080000}"/>
    <cellStyle name="연결된 셀 12" xfId="2070" xr:uid="{00000000-0005-0000-0000-000016080000}"/>
    <cellStyle name="연결된 셀 13" xfId="2071" xr:uid="{00000000-0005-0000-0000-000017080000}"/>
    <cellStyle name="연결된 셀 14" xfId="2072" xr:uid="{00000000-0005-0000-0000-000018080000}"/>
    <cellStyle name="연결된 셀 15" xfId="2073" xr:uid="{00000000-0005-0000-0000-000019080000}"/>
    <cellStyle name="연결된 셀 16" xfId="2074" xr:uid="{00000000-0005-0000-0000-00001A080000}"/>
    <cellStyle name="연결된 셀 17" xfId="2075" xr:uid="{00000000-0005-0000-0000-00001B080000}"/>
    <cellStyle name="연결된 셀 18" xfId="2076" xr:uid="{00000000-0005-0000-0000-00001C080000}"/>
    <cellStyle name="연결된 셀 19" xfId="2077" xr:uid="{00000000-0005-0000-0000-00001D080000}"/>
    <cellStyle name="연결된 셀 2" xfId="2078" xr:uid="{00000000-0005-0000-0000-00001E080000}"/>
    <cellStyle name="연결된 셀 2 2" xfId="2079" xr:uid="{00000000-0005-0000-0000-00001F080000}"/>
    <cellStyle name="연결된 셀 2 3" xfId="2080" xr:uid="{00000000-0005-0000-0000-000020080000}"/>
    <cellStyle name="연결된 셀 20" xfId="2081" xr:uid="{00000000-0005-0000-0000-000021080000}"/>
    <cellStyle name="연결된 셀 21" xfId="2082" xr:uid="{00000000-0005-0000-0000-000022080000}"/>
    <cellStyle name="연결된 셀 22" xfId="2083" xr:uid="{00000000-0005-0000-0000-000023080000}"/>
    <cellStyle name="연결된 셀 23" xfId="2084" xr:uid="{00000000-0005-0000-0000-000024080000}"/>
    <cellStyle name="연결된 셀 24" xfId="2085" xr:uid="{00000000-0005-0000-0000-000025080000}"/>
    <cellStyle name="연결된 셀 25" xfId="2086" xr:uid="{00000000-0005-0000-0000-000026080000}"/>
    <cellStyle name="연결된 셀 26" xfId="2087" xr:uid="{00000000-0005-0000-0000-000027080000}"/>
    <cellStyle name="연결된 셀 27" xfId="2088" xr:uid="{00000000-0005-0000-0000-000028080000}"/>
    <cellStyle name="연결된 셀 3" xfId="2089" xr:uid="{00000000-0005-0000-0000-000029080000}"/>
    <cellStyle name="연결된 셀 3 2" xfId="2090" xr:uid="{00000000-0005-0000-0000-00002A080000}"/>
    <cellStyle name="연결된 셀 3 3" xfId="2091" xr:uid="{00000000-0005-0000-0000-00002B080000}"/>
    <cellStyle name="연결된 셀 3 4" xfId="2092" xr:uid="{00000000-0005-0000-0000-00002C080000}"/>
    <cellStyle name="연결된 셀 3 5" xfId="2093" xr:uid="{00000000-0005-0000-0000-00002D080000}"/>
    <cellStyle name="연결된 셀 3 6" xfId="2094" xr:uid="{00000000-0005-0000-0000-00002E080000}"/>
    <cellStyle name="연결된 셀 3 7" xfId="2095" xr:uid="{00000000-0005-0000-0000-00002F080000}"/>
    <cellStyle name="연결된 셀 4" xfId="2096" xr:uid="{00000000-0005-0000-0000-000030080000}"/>
    <cellStyle name="연결된 셀 4 2" xfId="2097" xr:uid="{00000000-0005-0000-0000-000031080000}"/>
    <cellStyle name="연결된 셀 4 3" xfId="2098" xr:uid="{00000000-0005-0000-0000-000032080000}"/>
    <cellStyle name="연결된 셀 4 4" xfId="2099" xr:uid="{00000000-0005-0000-0000-000033080000}"/>
    <cellStyle name="연결된 셀 5" xfId="2100" xr:uid="{00000000-0005-0000-0000-000034080000}"/>
    <cellStyle name="연결된 셀 6" xfId="2101" xr:uid="{00000000-0005-0000-0000-000035080000}"/>
    <cellStyle name="연결된 셀 7" xfId="2102" xr:uid="{00000000-0005-0000-0000-000036080000}"/>
    <cellStyle name="연결된 셀 8" xfId="2103" xr:uid="{00000000-0005-0000-0000-000037080000}"/>
    <cellStyle name="연결된 셀 9" xfId="2104" xr:uid="{00000000-0005-0000-0000-000038080000}"/>
    <cellStyle name="열어본 하이퍼링크" xfId="2105" xr:uid="{00000000-0005-0000-0000-000039080000}"/>
    <cellStyle name="요약" xfId="2106" builtinId="25" customBuiltin="1"/>
    <cellStyle name="요약 10" xfId="2107" xr:uid="{00000000-0005-0000-0000-00003B080000}"/>
    <cellStyle name="요약 11" xfId="2108" xr:uid="{00000000-0005-0000-0000-00003C080000}"/>
    <cellStyle name="요약 12" xfId="2109" xr:uid="{00000000-0005-0000-0000-00003D080000}"/>
    <cellStyle name="요약 13" xfId="2110" xr:uid="{00000000-0005-0000-0000-00003E080000}"/>
    <cellStyle name="요약 14" xfId="2111" xr:uid="{00000000-0005-0000-0000-00003F080000}"/>
    <cellStyle name="요약 15" xfId="2112" xr:uid="{00000000-0005-0000-0000-000040080000}"/>
    <cellStyle name="요약 16" xfId="2113" xr:uid="{00000000-0005-0000-0000-000041080000}"/>
    <cellStyle name="요약 17" xfId="2114" xr:uid="{00000000-0005-0000-0000-000042080000}"/>
    <cellStyle name="요약 18" xfId="2115" xr:uid="{00000000-0005-0000-0000-000043080000}"/>
    <cellStyle name="요약 19" xfId="2116" xr:uid="{00000000-0005-0000-0000-000044080000}"/>
    <cellStyle name="요약 2" xfId="2117" xr:uid="{00000000-0005-0000-0000-000045080000}"/>
    <cellStyle name="요약 2 2" xfId="2118" xr:uid="{00000000-0005-0000-0000-000046080000}"/>
    <cellStyle name="요약 2 3" xfId="2119" xr:uid="{00000000-0005-0000-0000-000047080000}"/>
    <cellStyle name="요약 20" xfId="2120" xr:uid="{00000000-0005-0000-0000-000048080000}"/>
    <cellStyle name="요약 21" xfId="2121" xr:uid="{00000000-0005-0000-0000-000049080000}"/>
    <cellStyle name="요약 22" xfId="2122" xr:uid="{00000000-0005-0000-0000-00004A080000}"/>
    <cellStyle name="요약 23" xfId="2123" xr:uid="{00000000-0005-0000-0000-00004B080000}"/>
    <cellStyle name="요약 24" xfId="2124" xr:uid="{00000000-0005-0000-0000-00004C080000}"/>
    <cellStyle name="요약 25" xfId="2125" xr:uid="{00000000-0005-0000-0000-00004D080000}"/>
    <cellStyle name="요약 26" xfId="2126" xr:uid="{00000000-0005-0000-0000-00004E080000}"/>
    <cellStyle name="요약 27" xfId="2127" xr:uid="{00000000-0005-0000-0000-00004F080000}"/>
    <cellStyle name="요약 3" xfId="2128" xr:uid="{00000000-0005-0000-0000-000050080000}"/>
    <cellStyle name="요약 3 2" xfId="2129" xr:uid="{00000000-0005-0000-0000-000051080000}"/>
    <cellStyle name="요약 3 3" xfId="2130" xr:uid="{00000000-0005-0000-0000-000052080000}"/>
    <cellStyle name="요약 3 4" xfId="2131" xr:uid="{00000000-0005-0000-0000-000053080000}"/>
    <cellStyle name="요약 3 5" xfId="2132" xr:uid="{00000000-0005-0000-0000-000054080000}"/>
    <cellStyle name="요약 3 6" xfId="2133" xr:uid="{00000000-0005-0000-0000-000055080000}"/>
    <cellStyle name="요약 3 7" xfId="2134" xr:uid="{00000000-0005-0000-0000-000056080000}"/>
    <cellStyle name="요약 4" xfId="2135" xr:uid="{00000000-0005-0000-0000-000057080000}"/>
    <cellStyle name="요약 4 2" xfId="2136" xr:uid="{00000000-0005-0000-0000-000058080000}"/>
    <cellStyle name="요약 4 3" xfId="2137" xr:uid="{00000000-0005-0000-0000-000059080000}"/>
    <cellStyle name="요약 4 4" xfId="2138" xr:uid="{00000000-0005-0000-0000-00005A080000}"/>
    <cellStyle name="요약 5" xfId="2139" xr:uid="{00000000-0005-0000-0000-00005B080000}"/>
    <cellStyle name="요약 6" xfId="2140" xr:uid="{00000000-0005-0000-0000-00005C080000}"/>
    <cellStyle name="요약 7" xfId="2141" xr:uid="{00000000-0005-0000-0000-00005D080000}"/>
    <cellStyle name="요약 8" xfId="2142" xr:uid="{00000000-0005-0000-0000-00005E080000}"/>
    <cellStyle name="요약 9" xfId="2143" xr:uid="{00000000-0005-0000-0000-00005F080000}"/>
    <cellStyle name="유1" xfId="2144" xr:uid="{00000000-0005-0000-0000-000060080000}"/>
    <cellStyle name="입력" xfId="2145" builtinId="20" customBuiltin="1"/>
    <cellStyle name="입력 10" xfId="2146" xr:uid="{00000000-0005-0000-0000-000062080000}"/>
    <cellStyle name="입력 11" xfId="2147" xr:uid="{00000000-0005-0000-0000-000063080000}"/>
    <cellStyle name="입력 12" xfId="2148" xr:uid="{00000000-0005-0000-0000-000064080000}"/>
    <cellStyle name="입력 13" xfId="2149" xr:uid="{00000000-0005-0000-0000-000065080000}"/>
    <cellStyle name="입력 14" xfId="2150" xr:uid="{00000000-0005-0000-0000-000066080000}"/>
    <cellStyle name="입력 15" xfId="2151" xr:uid="{00000000-0005-0000-0000-000067080000}"/>
    <cellStyle name="입력 16" xfId="2152" xr:uid="{00000000-0005-0000-0000-000068080000}"/>
    <cellStyle name="입력 17" xfId="2153" xr:uid="{00000000-0005-0000-0000-000069080000}"/>
    <cellStyle name="입력 18" xfId="2154" xr:uid="{00000000-0005-0000-0000-00006A080000}"/>
    <cellStyle name="입력 19" xfId="2155" xr:uid="{00000000-0005-0000-0000-00006B080000}"/>
    <cellStyle name="입력 2" xfId="2156" xr:uid="{00000000-0005-0000-0000-00006C080000}"/>
    <cellStyle name="입력 2 2" xfId="2157" xr:uid="{00000000-0005-0000-0000-00006D080000}"/>
    <cellStyle name="입력 2 3" xfId="2158" xr:uid="{00000000-0005-0000-0000-00006E080000}"/>
    <cellStyle name="입력 20" xfId="2159" xr:uid="{00000000-0005-0000-0000-00006F080000}"/>
    <cellStyle name="입력 21" xfId="2160" xr:uid="{00000000-0005-0000-0000-000070080000}"/>
    <cellStyle name="입력 22" xfId="2161" xr:uid="{00000000-0005-0000-0000-000071080000}"/>
    <cellStyle name="입력 23" xfId="2162" xr:uid="{00000000-0005-0000-0000-000072080000}"/>
    <cellStyle name="입력 24" xfId="2163" xr:uid="{00000000-0005-0000-0000-000073080000}"/>
    <cellStyle name="입력 25" xfId="2164" xr:uid="{00000000-0005-0000-0000-000074080000}"/>
    <cellStyle name="입력 26" xfId="2165" xr:uid="{00000000-0005-0000-0000-000075080000}"/>
    <cellStyle name="입력 27" xfId="2166" xr:uid="{00000000-0005-0000-0000-000076080000}"/>
    <cellStyle name="입력 3" xfId="2167" xr:uid="{00000000-0005-0000-0000-000077080000}"/>
    <cellStyle name="입력 3 2" xfId="2168" xr:uid="{00000000-0005-0000-0000-000078080000}"/>
    <cellStyle name="입력 3 3" xfId="2169" xr:uid="{00000000-0005-0000-0000-000079080000}"/>
    <cellStyle name="입력 3 4" xfId="2170" xr:uid="{00000000-0005-0000-0000-00007A080000}"/>
    <cellStyle name="입력 3 5" xfId="2171" xr:uid="{00000000-0005-0000-0000-00007B080000}"/>
    <cellStyle name="입력 3 6" xfId="2172" xr:uid="{00000000-0005-0000-0000-00007C080000}"/>
    <cellStyle name="입력 3 7" xfId="2173" xr:uid="{00000000-0005-0000-0000-00007D080000}"/>
    <cellStyle name="입력 4" xfId="2174" xr:uid="{00000000-0005-0000-0000-00007E080000}"/>
    <cellStyle name="입력 4 2" xfId="2175" xr:uid="{00000000-0005-0000-0000-00007F080000}"/>
    <cellStyle name="입력 4 3" xfId="2176" xr:uid="{00000000-0005-0000-0000-000080080000}"/>
    <cellStyle name="입력 4 4" xfId="2177" xr:uid="{00000000-0005-0000-0000-000081080000}"/>
    <cellStyle name="입력 5" xfId="2178" xr:uid="{00000000-0005-0000-0000-000082080000}"/>
    <cellStyle name="입력 6" xfId="2179" xr:uid="{00000000-0005-0000-0000-000083080000}"/>
    <cellStyle name="입력 7" xfId="2180" xr:uid="{00000000-0005-0000-0000-000084080000}"/>
    <cellStyle name="입력 8" xfId="2181" xr:uid="{00000000-0005-0000-0000-000085080000}"/>
    <cellStyle name="입력 9" xfId="2182" xr:uid="{00000000-0005-0000-0000-000086080000}"/>
    <cellStyle name="자리수" xfId="2183" xr:uid="{00000000-0005-0000-0000-000087080000}"/>
    <cellStyle name="자리수0" xfId="2184" xr:uid="{00000000-0005-0000-0000-000088080000}"/>
    <cellStyle name="자리수0 2" xfId="2185" xr:uid="{00000000-0005-0000-0000-000089080000}"/>
    <cellStyle name="제목" xfId="2186" builtinId="15" customBuiltin="1"/>
    <cellStyle name="제목 1" xfId="2187" builtinId="16" customBuiltin="1"/>
    <cellStyle name="제목 1 10" xfId="2188" xr:uid="{00000000-0005-0000-0000-00008C080000}"/>
    <cellStyle name="제목 1 11" xfId="2189" xr:uid="{00000000-0005-0000-0000-00008D080000}"/>
    <cellStyle name="제목 1 12" xfId="2190" xr:uid="{00000000-0005-0000-0000-00008E080000}"/>
    <cellStyle name="제목 1 13" xfId="2191" xr:uid="{00000000-0005-0000-0000-00008F080000}"/>
    <cellStyle name="제목 1 14" xfId="2192" xr:uid="{00000000-0005-0000-0000-000090080000}"/>
    <cellStyle name="제목 1 15" xfId="2193" xr:uid="{00000000-0005-0000-0000-000091080000}"/>
    <cellStyle name="제목 1 16" xfId="2194" xr:uid="{00000000-0005-0000-0000-000092080000}"/>
    <cellStyle name="제목 1 17" xfId="2195" xr:uid="{00000000-0005-0000-0000-000093080000}"/>
    <cellStyle name="제목 1 18" xfId="2196" xr:uid="{00000000-0005-0000-0000-000094080000}"/>
    <cellStyle name="제목 1 19" xfId="2197" xr:uid="{00000000-0005-0000-0000-000095080000}"/>
    <cellStyle name="제목 1 2" xfId="2198" xr:uid="{00000000-0005-0000-0000-000096080000}"/>
    <cellStyle name="제목 1 2 2" xfId="2199" xr:uid="{00000000-0005-0000-0000-000097080000}"/>
    <cellStyle name="제목 1 2 3" xfId="2200" xr:uid="{00000000-0005-0000-0000-000098080000}"/>
    <cellStyle name="제목 1 20" xfId="2201" xr:uid="{00000000-0005-0000-0000-000099080000}"/>
    <cellStyle name="제목 1 21" xfId="2202" xr:uid="{00000000-0005-0000-0000-00009A080000}"/>
    <cellStyle name="제목 1 22" xfId="2203" xr:uid="{00000000-0005-0000-0000-00009B080000}"/>
    <cellStyle name="제목 1 23" xfId="2204" xr:uid="{00000000-0005-0000-0000-00009C080000}"/>
    <cellStyle name="제목 1 24" xfId="2205" xr:uid="{00000000-0005-0000-0000-00009D080000}"/>
    <cellStyle name="제목 1 25" xfId="2206" xr:uid="{00000000-0005-0000-0000-00009E080000}"/>
    <cellStyle name="제목 1 26" xfId="2207" xr:uid="{00000000-0005-0000-0000-00009F080000}"/>
    <cellStyle name="제목 1 27" xfId="2208" xr:uid="{00000000-0005-0000-0000-0000A0080000}"/>
    <cellStyle name="제목 1 3" xfId="2209" xr:uid="{00000000-0005-0000-0000-0000A1080000}"/>
    <cellStyle name="제목 1 3 2" xfId="2210" xr:uid="{00000000-0005-0000-0000-0000A2080000}"/>
    <cellStyle name="제목 1 3 3" xfId="2211" xr:uid="{00000000-0005-0000-0000-0000A3080000}"/>
    <cellStyle name="제목 1 3 4" xfId="2212" xr:uid="{00000000-0005-0000-0000-0000A4080000}"/>
    <cellStyle name="제목 1 3 5" xfId="2213" xr:uid="{00000000-0005-0000-0000-0000A5080000}"/>
    <cellStyle name="제목 1 3 6" xfId="2214" xr:uid="{00000000-0005-0000-0000-0000A6080000}"/>
    <cellStyle name="제목 1 3 7" xfId="2215" xr:uid="{00000000-0005-0000-0000-0000A7080000}"/>
    <cellStyle name="제목 1 4" xfId="2216" xr:uid="{00000000-0005-0000-0000-0000A8080000}"/>
    <cellStyle name="제목 1 4 2" xfId="2217" xr:uid="{00000000-0005-0000-0000-0000A9080000}"/>
    <cellStyle name="제목 1 4 3" xfId="2218" xr:uid="{00000000-0005-0000-0000-0000AA080000}"/>
    <cellStyle name="제목 1 4 4" xfId="2219" xr:uid="{00000000-0005-0000-0000-0000AB080000}"/>
    <cellStyle name="제목 1 5" xfId="2220" xr:uid="{00000000-0005-0000-0000-0000AC080000}"/>
    <cellStyle name="제목 1 6" xfId="2221" xr:uid="{00000000-0005-0000-0000-0000AD080000}"/>
    <cellStyle name="제목 1 7" xfId="2222" xr:uid="{00000000-0005-0000-0000-0000AE080000}"/>
    <cellStyle name="제목 1 8" xfId="2223" xr:uid="{00000000-0005-0000-0000-0000AF080000}"/>
    <cellStyle name="제목 1 9" xfId="2224" xr:uid="{00000000-0005-0000-0000-0000B0080000}"/>
    <cellStyle name="제목 10" xfId="2225" xr:uid="{00000000-0005-0000-0000-0000B1080000}"/>
    <cellStyle name="제목 11" xfId="2226" xr:uid="{00000000-0005-0000-0000-0000B2080000}"/>
    <cellStyle name="제목 12" xfId="2227" xr:uid="{00000000-0005-0000-0000-0000B3080000}"/>
    <cellStyle name="제목 13" xfId="2228" xr:uid="{00000000-0005-0000-0000-0000B4080000}"/>
    <cellStyle name="제목 14" xfId="2229" xr:uid="{00000000-0005-0000-0000-0000B5080000}"/>
    <cellStyle name="제목 15" xfId="2230" xr:uid="{00000000-0005-0000-0000-0000B6080000}"/>
    <cellStyle name="제목 16" xfId="2231" xr:uid="{00000000-0005-0000-0000-0000B7080000}"/>
    <cellStyle name="제목 17" xfId="2232" xr:uid="{00000000-0005-0000-0000-0000B8080000}"/>
    <cellStyle name="제목 18" xfId="2233" xr:uid="{00000000-0005-0000-0000-0000B9080000}"/>
    <cellStyle name="제목 19" xfId="2234" xr:uid="{00000000-0005-0000-0000-0000BA080000}"/>
    <cellStyle name="제목 2" xfId="2235" builtinId="17" customBuiltin="1"/>
    <cellStyle name="제목 2 10" xfId="2236" xr:uid="{00000000-0005-0000-0000-0000BC080000}"/>
    <cellStyle name="제목 2 11" xfId="2237" xr:uid="{00000000-0005-0000-0000-0000BD080000}"/>
    <cellStyle name="제목 2 12" xfId="2238" xr:uid="{00000000-0005-0000-0000-0000BE080000}"/>
    <cellStyle name="제목 2 13" xfId="2239" xr:uid="{00000000-0005-0000-0000-0000BF080000}"/>
    <cellStyle name="제목 2 14" xfId="2240" xr:uid="{00000000-0005-0000-0000-0000C0080000}"/>
    <cellStyle name="제목 2 15" xfId="2241" xr:uid="{00000000-0005-0000-0000-0000C1080000}"/>
    <cellStyle name="제목 2 16" xfId="2242" xr:uid="{00000000-0005-0000-0000-0000C2080000}"/>
    <cellStyle name="제목 2 17" xfId="2243" xr:uid="{00000000-0005-0000-0000-0000C3080000}"/>
    <cellStyle name="제목 2 18" xfId="2244" xr:uid="{00000000-0005-0000-0000-0000C4080000}"/>
    <cellStyle name="제목 2 19" xfId="2245" xr:uid="{00000000-0005-0000-0000-0000C5080000}"/>
    <cellStyle name="제목 2 2" xfId="2246" xr:uid="{00000000-0005-0000-0000-0000C6080000}"/>
    <cellStyle name="제목 2 2 2" xfId="2247" xr:uid="{00000000-0005-0000-0000-0000C7080000}"/>
    <cellStyle name="제목 2 2 3" xfId="2248" xr:uid="{00000000-0005-0000-0000-0000C8080000}"/>
    <cellStyle name="제목 2 20" xfId="2249" xr:uid="{00000000-0005-0000-0000-0000C9080000}"/>
    <cellStyle name="제목 2 21" xfId="2250" xr:uid="{00000000-0005-0000-0000-0000CA080000}"/>
    <cellStyle name="제목 2 22" xfId="2251" xr:uid="{00000000-0005-0000-0000-0000CB080000}"/>
    <cellStyle name="제목 2 23" xfId="2252" xr:uid="{00000000-0005-0000-0000-0000CC080000}"/>
    <cellStyle name="제목 2 24" xfId="2253" xr:uid="{00000000-0005-0000-0000-0000CD080000}"/>
    <cellStyle name="제목 2 25" xfId="2254" xr:uid="{00000000-0005-0000-0000-0000CE080000}"/>
    <cellStyle name="제목 2 26" xfId="2255" xr:uid="{00000000-0005-0000-0000-0000CF080000}"/>
    <cellStyle name="제목 2 27" xfId="2256" xr:uid="{00000000-0005-0000-0000-0000D0080000}"/>
    <cellStyle name="제목 2 3" xfId="2257" xr:uid="{00000000-0005-0000-0000-0000D1080000}"/>
    <cellStyle name="제목 2 3 2" xfId="2258" xr:uid="{00000000-0005-0000-0000-0000D2080000}"/>
    <cellStyle name="제목 2 3 3" xfId="2259" xr:uid="{00000000-0005-0000-0000-0000D3080000}"/>
    <cellStyle name="제목 2 3 4" xfId="2260" xr:uid="{00000000-0005-0000-0000-0000D4080000}"/>
    <cellStyle name="제목 2 3 5" xfId="2261" xr:uid="{00000000-0005-0000-0000-0000D5080000}"/>
    <cellStyle name="제목 2 3 6" xfId="2262" xr:uid="{00000000-0005-0000-0000-0000D6080000}"/>
    <cellStyle name="제목 2 3 7" xfId="2263" xr:uid="{00000000-0005-0000-0000-0000D7080000}"/>
    <cellStyle name="제목 2 4" xfId="2264" xr:uid="{00000000-0005-0000-0000-0000D8080000}"/>
    <cellStyle name="제목 2 4 2" xfId="2265" xr:uid="{00000000-0005-0000-0000-0000D9080000}"/>
    <cellStyle name="제목 2 4 3" xfId="2266" xr:uid="{00000000-0005-0000-0000-0000DA080000}"/>
    <cellStyle name="제목 2 4 4" xfId="2267" xr:uid="{00000000-0005-0000-0000-0000DB080000}"/>
    <cellStyle name="제목 2 5" xfId="2268" xr:uid="{00000000-0005-0000-0000-0000DC080000}"/>
    <cellStyle name="제목 2 6" xfId="2269" xr:uid="{00000000-0005-0000-0000-0000DD080000}"/>
    <cellStyle name="제목 2 7" xfId="2270" xr:uid="{00000000-0005-0000-0000-0000DE080000}"/>
    <cellStyle name="제목 2 8" xfId="2271" xr:uid="{00000000-0005-0000-0000-0000DF080000}"/>
    <cellStyle name="제목 2 9" xfId="2272" xr:uid="{00000000-0005-0000-0000-0000E0080000}"/>
    <cellStyle name="제목 20" xfId="2273" xr:uid="{00000000-0005-0000-0000-0000E1080000}"/>
    <cellStyle name="제목 21" xfId="2274" xr:uid="{00000000-0005-0000-0000-0000E2080000}"/>
    <cellStyle name="제목 22" xfId="2275" xr:uid="{00000000-0005-0000-0000-0000E3080000}"/>
    <cellStyle name="제목 23" xfId="2276" xr:uid="{00000000-0005-0000-0000-0000E4080000}"/>
    <cellStyle name="제목 24" xfId="2277" xr:uid="{00000000-0005-0000-0000-0000E5080000}"/>
    <cellStyle name="제목 25" xfId="2278" xr:uid="{00000000-0005-0000-0000-0000E6080000}"/>
    <cellStyle name="제목 26" xfId="2279" xr:uid="{00000000-0005-0000-0000-0000E7080000}"/>
    <cellStyle name="제목 27" xfId="2280" xr:uid="{00000000-0005-0000-0000-0000E8080000}"/>
    <cellStyle name="제목 28" xfId="2281" xr:uid="{00000000-0005-0000-0000-0000E9080000}"/>
    <cellStyle name="제목 29" xfId="2282" xr:uid="{00000000-0005-0000-0000-0000EA080000}"/>
    <cellStyle name="제목 3" xfId="2283" builtinId="18" customBuiltin="1"/>
    <cellStyle name="제목 3 10" xfId="2284" xr:uid="{00000000-0005-0000-0000-0000EC080000}"/>
    <cellStyle name="제목 3 11" xfId="2285" xr:uid="{00000000-0005-0000-0000-0000ED080000}"/>
    <cellStyle name="제목 3 12" xfId="2286" xr:uid="{00000000-0005-0000-0000-0000EE080000}"/>
    <cellStyle name="제목 3 13" xfId="2287" xr:uid="{00000000-0005-0000-0000-0000EF080000}"/>
    <cellStyle name="제목 3 14" xfId="2288" xr:uid="{00000000-0005-0000-0000-0000F0080000}"/>
    <cellStyle name="제목 3 15" xfId="2289" xr:uid="{00000000-0005-0000-0000-0000F1080000}"/>
    <cellStyle name="제목 3 16" xfId="2290" xr:uid="{00000000-0005-0000-0000-0000F2080000}"/>
    <cellStyle name="제목 3 17" xfId="2291" xr:uid="{00000000-0005-0000-0000-0000F3080000}"/>
    <cellStyle name="제목 3 18" xfId="2292" xr:uid="{00000000-0005-0000-0000-0000F4080000}"/>
    <cellStyle name="제목 3 19" xfId="2293" xr:uid="{00000000-0005-0000-0000-0000F5080000}"/>
    <cellStyle name="제목 3 2" xfId="2294" xr:uid="{00000000-0005-0000-0000-0000F6080000}"/>
    <cellStyle name="제목 3 2 2" xfId="2295" xr:uid="{00000000-0005-0000-0000-0000F7080000}"/>
    <cellStyle name="제목 3 2 3" xfId="2296" xr:uid="{00000000-0005-0000-0000-0000F8080000}"/>
    <cellStyle name="제목 3 20" xfId="2297" xr:uid="{00000000-0005-0000-0000-0000F9080000}"/>
    <cellStyle name="제목 3 21" xfId="2298" xr:uid="{00000000-0005-0000-0000-0000FA080000}"/>
    <cellStyle name="제목 3 22" xfId="2299" xr:uid="{00000000-0005-0000-0000-0000FB080000}"/>
    <cellStyle name="제목 3 23" xfId="2300" xr:uid="{00000000-0005-0000-0000-0000FC080000}"/>
    <cellStyle name="제목 3 24" xfId="2301" xr:uid="{00000000-0005-0000-0000-0000FD080000}"/>
    <cellStyle name="제목 3 25" xfId="2302" xr:uid="{00000000-0005-0000-0000-0000FE080000}"/>
    <cellStyle name="제목 3 26" xfId="2303" xr:uid="{00000000-0005-0000-0000-0000FF080000}"/>
    <cellStyle name="제목 3 27" xfId="2304" xr:uid="{00000000-0005-0000-0000-000000090000}"/>
    <cellStyle name="제목 3 3" xfId="2305" xr:uid="{00000000-0005-0000-0000-000001090000}"/>
    <cellStyle name="제목 3 3 2" xfId="2306" xr:uid="{00000000-0005-0000-0000-000002090000}"/>
    <cellStyle name="제목 3 3 3" xfId="2307" xr:uid="{00000000-0005-0000-0000-000003090000}"/>
    <cellStyle name="제목 3 3 4" xfId="2308" xr:uid="{00000000-0005-0000-0000-000004090000}"/>
    <cellStyle name="제목 3 3 5" xfId="2309" xr:uid="{00000000-0005-0000-0000-000005090000}"/>
    <cellStyle name="제목 3 3 6" xfId="2310" xr:uid="{00000000-0005-0000-0000-000006090000}"/>
    <cellStyle name="제목 3 3 7" xfId="2311" xr:uid="{00000000-0005-0000-0000-000007090000}"/>
    <cellStyle name="제목 3 4" xfId="2312" xr:uid="{00000000-0005-0000-0000-000008090000}"/>
    <cellStyle name="제목 3 4 2" xfId="2313" xr:uid="{00000000-0005-0000-0000-000009090000}"/>
    <cellStyle name="제목 3 4 3" xfId="2314" xr:uid="{00000000-0005-0000-0000-00000A090000}"/>
    <cellStyle name="제목 3 4 4" xfId="2315" xr:uid="{00000000-0005-0000-0000-00000B090000}"/>
    <cellStyle name="제목 3 5" xfId="2316" xr:uid="{00000000-0005-0000-0000-00000C090000}"/>
    <cellStyle name="제목 3 6" xfId="2317" xr:uid="{00000000-0005-0000-0000-00000D090000}"/>
    <cellStyle name="제목 3 7" xfId="2318" xr:uid="{00000000-0005-0000-0000-00000E090000}"/>
    <cellStyle name="제목 3 8" xfId="2319" xr:uid="{00000000-0005-0000-0000-00000F090000}"/>
    <cellStyle name="제목 3 9" xfId="2320" xr:uid="{00000000-0005-0000-0000-000010090000}"/>
    <cellStyle name="제목 30" xfId="2321" xr:uid="{00000000-0005-0000-0000-000011090000}"/>
    <cellStyle name="제목 4" xfId="2322" builtinId="19" customBuiltin="1"/>
    <cellStyle name="제목 4 10" xfId="2323" xr:uid="{00000000-0005-0000-0000-000013090000}"/>
    <cellStyle name="제목 4 11" xfId="2324" xr:uid="{00000000-0005-0000-0000-000014090000}"/>
    <cellStyle name="제목 4 12" xfId="2325" xr:uid="{00000000-0005-0000-0000-000015090000}"/>
    <cellStyle name="제목 4 13" xfId="2326" xr:uid="{00000000-0005-0000-0000-000016090000}"/>
    <cellStyle name="제목 4 14" xfId="2327" xr:uid="{00000000-0005-0000-0000-000017090000}"/>
    <cellStyle name="제목 4 15" xfId="2328" xr:uid="{00000000-0005-0000-0000-000018090000}"/>
    <cellStyle name="제목 4 16" xfId="2329" xr:uid="{00000000-0005-0000-0000-000019090000}"/>
    <cellStyle name="제목 4 17" xfId="2330" xr:uid="{00000000-0005-0000-0000-00001A090000}"/>
    <cellStyle name="제목 4 18" xfId="2331" xr:uid="{00000000-0005-0000-0000-00001B090000}"/>
    <cellStyle name="제목 4 19" xfId="2332" xr:uid="{00000000-0005-0000-0000-00001C090000}"/>
    <cellStyle name="제목 4 2" xfId="2333" xr:uid="{00000000-0005-0000-0000-00001D090000}"/>
    <cellStyle name="제목 4 2 2" xfId="2334" xr:uid="{00000000-0005-0000-0000-00001E090000}"/>
    <cellStyle name="제목 4 2 3" xfId="2335" xr:uid="{00000000-0005-0000-0000-00001F090000}"/>
    <cellStyle name="제목 4 20" xfId="2336" xr:uid="{00000000-0005-0000-0000-000020090000}"/>
    <cellStyle name="제목 4 21" xfId="2337" xr:uid="{00000000-0005-0000-0000-000021090000}"/>
    <cellStyle name="제목 4 22" xfId="2338" xr:uid="{00000000-0005-0000-0000-000022090000}"/>
    <cellStyle name="제목 4 23" xfId="2339" xr:uid="{00000000-0005-0000-0000-000023090000}"/>
    <cellStyle name="제목 4 24" xfId="2340" xr:uid="{00000000-0005-0000-0000-000024090000}"/>
    <cellStyle name="제목 4 25" xfId="2341" xr:uid="{00000000-0005-0000-0000-000025090000}"/>
    <cellStyle name="제목 4 26" xfId="2342" xr:uid="{00000000-0005-0000-0000-000026090000}"/>
    <cellStyle name="제목 4 27" xfId="2343" xr:uid="{00000000-0005-0000-0000-000027090000}"/>
    <cellStyle name="제목 4 3" xfId="2344" xr:uid="{00000000-0005-0000-0000-000028090000}"/>
    <cellStyle name="제목 4 3 2" xfId="2345" xr:uid="{00000000-0005-0000-0000-000029090000}"/>
    <cellStyle name="제목 4 3 3" xfId="2346" xr:uid="{00000000-0005-0000-0000-00002A090000}"/>
    <cellStyle name="제목 4 3 4" xfId="2347" xr:uid="{00000000-0005-0000-0000-00002B090000}"/>
    <cellStyle name="제목 4 3 5" xfId="2348" xr:uid="{00000000-0005-0000-0000-00002C090000}"/>
    <cellStyle name="제목 4 3 6" xfId="2349" xr:uid="{00000000-0005-0000-0000-00002D090000}"/>
    <cellStyle name="제목 4 3 7" xfId="2350" xr:uid="{00000000-0005-0000-0000-00002E090000}"/>
    <cellStyle name="제목 4 4" xfId="2351" xr:uid="{00000000-0005-0000-0000-00002F090000}"/>
    <cellStyle name="제목 4 4 2" xfId="2352" xr:uid="{00000000-0005-0000-0000-000030090000}"/>
    <cellStyle name="제목 4 4 3" xfId="2353" xr:uid="{00000000-0005-0000-0000-000031090000}"/>
    <cellStyle name="제목 4 4 4" xfId="2354" xr:uid="{00000000-0005-0000-0000-000032090000}"/>
    <cellStyle name="제목 4 5" xfId="2355" xr:uid="{00000000-0005-0000-0000-000033090000}"/>
    <cellStyle name="제목 4 6" xfId="2356" xr:uid="{00000000-0005-0000-0000-000034090000}"/>
    <cellStyle name="제목 4 7" xfId="2357" xr:uid="{00000000-0005-0000-0000-000035090000}"/>
    <cellStyle name="제목 4 8" xfId="2358" xr:uid="{00000000-0005-0000-0000-000036090000}"/>
    <cellStyle name="제목 4 9" xfId="2359" xr:uid="{00000000-0005-0000-0000-000037090000}"/>
    <cellStyle name="제목 5" xfId="2360" xr:uid="{00000000-0005-0000-0000-000038090000}"/>
    <cellStyle name="제목 5 2" xfId="2361" xr:uid="{00000000-0005-0000-0000-000039090000}"/>
    <cellStyle name="제목 5 3" xfId="2362" xr:uid="{00000000-0005-0000-0000-00003A090000}"/>
    <cellStyle name="제목 6" xfId="2363" xr:uid="{00000000-0005-0000-0000-00003B090000}"/>
    <cellStyle name="제목 6 2" xfId="2364" xr:uid="{00000000-0005-0000-0000-00003C090000}"/>
    <cellStyle name="제목 6 3" xfId="2365" xr:uid="{00000000-0005-0000-0000-00003D090000}"/>
    <cellStyle name="제목 6 4" xfId="2366" xr:uid="{00000000-0005-0000-0000-00003E090000}"/>
    <cellStyle name="제목 6 5" xfId="2367" xr:uid="{00000000-0005-0000-0000-00003F090000}"/>
    <cellStyle name="제목 6 6" xfId="2368" xr:uid="{00000000-0005-0000-0000-000040090000}"/>
    <cellStyle name="제목 6 7" xfId="2369" xr:uid="{00000000-0005-0000-0000-000041090000}"/>
    <cellStyle name="제목 7" xfId="2370" xr:uid="{00000000-0005-0000-0000-000042090000}"/>
    <cellStyle name="제목 7 2" xfId="2371" xr:uid="{00000000-0005-0000-0000-000043090000}"/>
    <cellStyle name="제목 7 3" xfId="2372" xr:uid="{00000000-0005-0000-0000-000044090000}"/>
    <cellStyle name="제목 7 4" xfId="2373" xr:uid="{00000000-0005-0000-0000-000045090000}"/>
    <cellStyle name="제목 8" xfId="2374" xr:uid="{00000000-0005-0000-0000-000046090000}"/>
    <cellStyle name="제목 9" xfId="2375" xr:uid="{00000000-0005-0000-0000-000047090000}"/>
    <cellStyle name="제목[1 줄]" xfId="2376" xr:uid="{00000000-0005-0000-0000-000048090000}"/>
    <cellStyle name="제목[2줄 아래]" xfId="2377" xr:uid="{00000000-0005-0000-0000-000049090000}"/>
    <cellStyle name="제목[2줄 위]" xfId="2378" xr:uid="{00000000-0005-0000-0000-00004A090000}"/>
    <cellStyle name="제목1" xfId="2379" xr:uid="{00000000-0005-0000-0000-00004B090000}"/>
    <cellStyle name="좋음" xfId="2380" builtinId="26" customBuiltin="1"/>
    <cellStyle name="좋음 10" xfId="2381" xr:uid="{00000000-0005-0000-0000-00004D090000}"/>
    <cellStyle name="좋음 11" xfId="2382" xr:uid="{00000000-0005-0000-0000-00004E090000}"/>
    <cellStyle name="좋음 12" xfId="2383" xr:uid="{00000000-0005-0000-0000-00004F090000}"/>
    <cellStyle name="좋음 13" xfId="2384" xr:uid="{00000000-0005-0000-0000-000050090000}"/>
    <cellStyle name="좋음 14" xfId="2385" xr:uid="{00000000-0005-0000-0000-000051090000}"/>
    <cellStyle name="좋음 15" xfId="2386" xr:uid="{00000000-0005-0000-0000-000052090000}"/>
    <cellStyle name="좋음 16" xfId="2387" xr:uid="{00000000-0005-0000-0000-000053090000}"/>
    <cellStyle name="좋음 17" xfId="2388" xr:uid="{00000000-0005-0000-0000-000054090000}"/>
    <cellStyle name="좋음 18" xfId="2389" xr:uid="{00000000-0005-0000-0000-000055090000}"/>
    <cellStyle name="좋음 19" xfId="2390" xr:uid="{00000000-0005-0000-0000-000056090000}"/>
    <cellStyle name="좋음 2" xfId="2391" xr:uid="{00000000-0005-0000-0000-000057090000}"/>
    <cellStyle name="좋음 2 2" xfId="2392" xr:uid="{00000000-0005-0000-0000-000058090000}"/>
    <cellStyle name="좋음 2 3" xfId="2393" xr:uid="{00000000-0005-0000-0000-000059090000}"/>
    <cellStyle name="좋음 20" xfId="2394" xr:uid="{00000000-0005-0000-0000-00005A090000}"/>
    <cellStyle name="좋음 21" xfId="2395" xr:uid="{00000000-0005-0000-0000-00005B090000}"/>
    <cellStyle name="좋음 22" xfId="2396" xr:uid="{00000000-0005-0000-0000-00005C090000}"/>
    <cellStyle name="좋음 23" xfId="2397" xr:uid="{00000000-0005-0000-0000-00005D090000}"/>
    <cellStyle name="좋음 24" xfId="2398" xr:uid="{00000000-0005-0000-0000-00005E090000}"/>
    <cellStyle name="좋음 25" xfId="2399" xr:uid="{00000000-0005-0000-0000-00005F090000}"/>
    <cellStyle name="좋음 26" xfId="2400" xr:uid="{00000000-0005-0000-0000-000060090000}"/>
    <cellStyle name="좋음 27" xfId="2401" xr:uid="{00000000-0005-0000-0000-000061090000}"/>
    <cellStyle name="좋음 3" xfId="2402" xr:uid="{00000000-0005-0000-0000-000062090000}"/>
    <cellStyle name="좋음 3 2" xfId="2403" xr:uid="{00000000-0005-0000-0000-000063090000}"/>
    <cellStyle name="좋음 3 3" xfId="2404" xr:uid="{00000000-0005-0000-0000-000064090000}"/>
    <cellStyle name="좋음 3 4" xfId="2405" xr:uid="{00000000-0005-0000-0000-000065090000}"/>
    <cellStyle name="좋음 3 5" xfId="2406" xr:uid="{00000000-0005-0000-0000-000066090000}"/>
    <cellStyle name="좋음 3 6" xfId="2407" xr:uid="{00000000-0005-0000-0000-000067090000}"/>
    <cellStyle name="좋음 3 7" xfId="2408" xr:uid="{00000000-0005-0000-0000-000068090000}"/>
    <cellStyle name="좋음 4" xfId="2409" xr:uid="{00000000-0005-0000-0000-000069090000}"/>
    <cellStyle name="좋음 4 2" xfId="2410" xr:uid="{00000000-0005-0000-0000-00006A090000}"/>
    <cellStyle name="좋음 4 3" xfId="2411" xr:uid="{00000000-0005-0000-0000-00006B090000}"/>
    <cellStyle name="좋음 4 4" xfId="2412" xr:uid="{00000000-0005-0000-0000-00006C090000}"/>
    <cellStyle name="좋음 5" xfId="2413" xr:uid="{00000000-0005-0000-0000-00006D090000}"/>
    <cellStyle name="좋음 6" xfId="2414" xr:uid="{00000000-0005-0000-0000-00006E090000}"/>
    <cellStyle name="좋음 7" xfId="2415" xr:uid="{00000000-0005-0000-0000-00006F090000}"/>
    <cellStyle name="좋음 8" xfId="2416" xr:uid="{00000000-0005-0000-0000-000070090000}"/>
    <cellStyle name="좋음 9" xfId="2417" xr:uid="{00000000-0005-0000-0000-000071090000}"/>
    <cellStyle name="지정되지 않음" xfId="2418" xr:uid="{00000000-0005-0000-0000-000072090000}"/>
    <cellStyle name="출력" xfId="2419" builtinId="21" customBuiltin="1"/>
    <cellStyle name="출력 10" xfId="2420" xr:uid="{00000000-0005-0000-0000-000074090000}"/>
    <cellStyle name="출력 11" xfId="2421" xr:uid="{00000000-0005-0000-0000-000075090000}"/>
    <cellStyle name="출력 12" xfId="2422" xr:uid="{00000000-0005-0000-0000-000076090000}"/>
    <cellStyle name="출력 13" xfId="2423" xr:uid="{00000000-0005-0000-0000-000077090000}"/>
    <cellStyle name="출력 14" xfId="2424" xr:uid="{00000000-0005-0000-0000-000078090000}"/>
    <cellStyle name="출력 15" xfId="2425" xr:uid="{00000000-0005-0000-0000-000079090000}"/>
    <cellStyle name="출력 16" xfId="2426" xr:uid="{00000000-0005-0000-0000-00007A090000}"/>
    <cellStyle name="출력 17" xfId="2427" xr:uid="{00000000-0005-0000-0000-00007B090000}"/>
    <cellStyle name="출력 18" xfId="2428" xr:uid="{00000000-0005-0000-0000-00007C090000}"/>
    <cellStyle name="출력 19" xfId="2429" xr:uid="{00000000-0005-0000-0000-00007D090000}"/>
    <cellStyle name="출력 2" xfId="2430" xr:uid="{00000000-0005-0000-0000-00007E090000}"/>
    <cellStyle name="출력 2 2" xfId="2431" xr:uid="{00000000-0005-0000-0000-00007F090000}"/>
    <cellStyle name="출력 2 3" xfId="2432" xr:uid="{00000000-0005-0000-0000-000080090000}"/>
    <cellStyle name="출력 20" xfId="2433" xr:uid="{00000000-0005-0000-0000-000081090000}"/>
    <cellStyle name="출력 21" xfId="2434" xr:uid="{00000000-0005-0000-0000-000082090000}"/>
    <cellStyle name="출력 22" xfId="2435" xr:uid="{00000000-0005-0000-0000-000083090000}"/>
    <cellStyle name="출력 23" xfId="2436" xr:uid="{00000000-0005-0000-0000-000084090000}"/>
    <cellStyle name="출력 24" xfId="2437" xr:uid="{00000000-0005-0000-0000-000085090000}"/>
    <cellStyle name="출력 25" xfId="2438" xr:uid="{00000000-0005-0000-0000-000086090000}"/>
    <cellStyle name="출력 26" xfId="2439" xr:uid="{00000000-0005-0000-0000-000087090000}"/>
    <cellStyle name="출력 27" xfId="2440" xr:uid="{00000000-0005-0000-0000-000088090000}"/>
    <cellStyle name="출력 3" xfId="2441" xr:uid="{00000000-0005-0000-0000-000089090000}"/>
    <cellStyle name="출력 3 2" xfId="2442" xr:uid="{00000000-0005-0000-0000-00008A090000}"/>
    <cellStyle name="출력 3 3" xfId="2443" xr:uid="{00000000-0005-0000-0000-00008B090000}"/>
    <cellStyle name="출력 3 4" xfId="2444" xr:uid="{00000000-0005-0000-0000-00008C090000}"/>
    <cellStyle name="출력 3 5" xfId="2445" xr:uid="{00000000-0005-0000-0000-00008D090000}"/>
    <cellStyle name="출력 3 6" xfId="2446" xr:uid="{00000000-0005-0000-0000-00008E090000}"/>
    <cellStyle name="출력 3 7" xfId="2447" xr:uid="{00000000-0005-0000-0000-00008F090000}"/>
    <cellStyle name="출력 4" xfId="2448" xr:uid="{00000000-0005-0000-0000-000090090000}"/>
    <cellStyle name="출력 4 2" xfId="2449" xr:uid="{00000000-0005-0000-0000-000091090000}"/>
    <cellStyle name="출력 4 3" xfId="2450" xr:uid="{00000000-0005-0000-0000-000092090000}"/>
    <cellStyle name="출력 4 4" xfId="2451" xr:uid="{00000000-0005-0000-0000-000093090000}"/>
    <cellStyle name="출력 5" xfId="2452" xr:uid="{00000000-0005-0000-0000-000094090000}"/>
    <cellStyle name="출력 6" xfId="2453" xr:uid="{00000000-0005-0000-0000-000095090000}"/>
    <cellStyle name="출력 7" xfId="2454" xr:uid="{00000000-0005-0000-0000-000096090000}"/>
    <cellStyle name="출력 8" xfId="2455" xr:uid="{00000000-0005-0000-0000-000097090000}"/>
    <cellStyle name="출력 9" xfId="2456" xr:uid="{00000000-0005-0000-0000-000098090000}"/>
    <cellStyle name="콤마" xfId="2457" xr:uid="{00000000-0005-0000-0000-000099090000}"/>
    <cellStyle name="콤마 [0]_ 견적기준 FLOW " xfId="2458" xr:uid="{00000000-0005-0000-0000-00009A090000}"/>
    <cellStyle name="콤마 [2]" xfId="2459" xr:uid="{00000000-0005-0000-0000-00009B090000}"/>
    <cellStyle name="콤마 [2] 2" xfId="2460" xr:uid="{00000000-0005-0000-0000-00009C090000}"/>
    <cellStyle name="콤마[ ]" xfId="2461" xr:uid="{00000000-0005-0000-0000-00009D090000}"/>
    <cellStyle name="콤마[*]" xfId="2462" xr:uid="{00000000-0005-0000-0000-00009E090000}"/>
    <cellStyle name="콤마[,]" xfId="2463" xr:uid="{00000000-0005-0000-0000-00009F090000}"/>
    <cellStyle name="콤마[.]" xfId="2464" xr:uid="{00000000-0005-0000-0000-0000A0090000}"/>
    <cellStyle name="콤마[0]" xfId="2465" xr:uid="{00000000-0005-0000-0000-0000A1090000}"/>
    <cellStyle name="콤마_ 견적기준 FLOW " xfId="2466" xr:uid="{00000000-0005-0000-0000-0000A2090000}"/>
    <cellStyle name="퍼센트" xfId="2467" xr:uid="{00000000-0005-0000-0000-0000A3090000}"/>
    <cellStyle name="퍼센트 2" xfId="2468" xr:uid="{00000000-0005-0000-0000-0000A4090000}"/>
    <cellStyle name="표(가는선,가운데,중앙)" xfId="2469" xr:uid="{00000000-0005-0000-0000-0000A5090000}"/>
    <cellStyle name="표(가는선,왼쪽,중앙)" xfId="2470" xr:uid="{00000000-0005-0000-0000-0000A6090000}"/>
    <cellStyle name="표(세로쓰기)" xfId="2471" xr:uid="{00000000-0005-0000-0000-0000A7090000}"/>
    <cellStyle name="표준" xfId="0" builtinId="0"/>
    <cellStyle name="표준 10" xfId="2472" xr:uid="{00000000-0005-0000-0000-0000A9090000}"/>
    <cellStyle name="표준 10 2" xfId="2473" xr:uid="{00000000-0005-0000-0000-0000AA090000}"/>
    <cellStyle name="표준 10 3" xfId="2474" xr:uid="{00000000-0005-0000-0000-0000AB090000}"/>
    <cellStyle name="표준 10 4" xfId="2475" xr:uid="{00000000-0005-0000-0000-0000AC090000}"/>
    <cellStyle name="표준 10 5" xfId="2476" xr:uid="{00000000-0005-0000-0000-0000AD090000}"/>
    <cellStyle name="표준 10 6" xfId="2477" xr:uid="{00000000-0005-0000-0000-0000AE090000}"/>
    <cellStyle name="표준 11" xfId="2478" xr:uid="{00000000-0005-0000-0000-0000AF090000}"/>
    <cellStyle name="표준 11 2" xfId="2479" xr:uid="{00000000-0005-0000-0000-0000B0090000}"/>
    <cellStyle name="표준 11 3" xfId="2480" xr:uid="{00000000-0005-0000-0000-0000B1090000}"/>
    <cellStyle name="표준 11 4" xfId="2481" xr:uid="{00000000-0005-0000-0000-0000B2090000}"/>
    <cellStyle name="표준 11 5" xfId="2482" xr:uid="{00000000-0005-0000-0000-0000B3090000}"/>
    <cellStyle name="표준 11 6" xfId="2483" xr:uid="{00000000-0005-0000-0000-0000B4090000}"/>
    <cellStyle name="표준 12" xfId="2484" xr:uid="{00000000-0005-0000-0000-0000B5090000}"/>
    <cellStyle name="표준 12 2" xfId="2485" xr:uid="{00000000-0005-0000-0000-0000B6090000}"/>
    <cellStyle name="표준 12 3" xfId="2486" xr:uid="{00000000-0005-0000-0000-0000B7090000}"/>
    <cellStyle name="표준 12 4" xfId="2487" xr:uid="{00000000-0005-0000-0000-0000B8090000}"/>
    <cellStyle name="표준 12 5" xfId="2488" xr:uid="{00000000-0005-0000-0000-0000B9090000}"/>
    <cellStyle name="표준 12 6" xfId="2489" xr:uid="{00000000-0005-0000-0000-0000BA090000}"/>
    <cellStyle name="표준 13" xfId="2490" xr:uid="{00000000-0005-0000-0000-0000BB090000}"/>
    <cellStyle name="표준 13 2" xfId="2491" xr:uid="{00000000-0005-0000-0000-0000BC090000}"/>
    <cellStyle name="표준 13 3" xfId="2492" xr:uid="{00000000-0005-0000-0000-0000BD090000}"/>
    <cellStyle name="표준 14" xfId="2493" xr:uid="{00000000-0005-0000-0000-0000BE090000}"/>
    <cellStyle name="표준 14 2" xfId="2494" xr:uid="{00000000-0005-0000-0000-0000BF090000}"/>
    <cellStyle name="표준 14 3" xfId="2495" xr:uid="{00000000-0005-0000-0000-0000C0090000}"/>
    <cellStyle name="표준 14 4" xfId="2496" xr:uid="{00000000-0005-0000-0000-0000C1090000}"/>
    <cellStyle name="표준 14 5" xfId="2497" xr:uid="{00000000-0005-0000-0000-0000C2090000}"/>
    <cellStyle name="표준 14 6" xfId="2498" xr:uid="{00000000-0005-0000-0000-0000C3090000}"/>
    <cellStyle name="표준 15" xfId="2499" xr:uid="{00000000-0005-0000-0000-0000C4090000}"/>
    <cellStyle name="표준 16" xfId="2500" xr:uid="{00000000-0005-0000-0000-0000C5090000}"/>
    <cellStyle name="표준 16 2" xfId="2501" xr:uid="{00000000-0005-0000-0000-0000C6090000}"/>
    <cellStyle name="표준 16 3" xfId="2502" xr:uid="{00000000-0005-0000-0000-0000C7090000}"/>
    <cellStyle name="표준 16 4" xfId="2503" xr:uid="{00000000-0005-0000-0000-0000C8090000}"/>
    <cellStyle name="표준 16 5" xfId="2504" xr:uid="{00000000-0005-0000-0000-0000C9090000}"/>
    <cellStyle name="표준 17" xfId="2505" xr:uid="{00000000-0005-0000-0000-0000CA090000}"/>
    <cellStyle name="표준 17 2" xfId="2506" xr:uid="{00000000-0005-0000-0000-0000CB090000}"/>
    <cellStyle name="표준 17 3" xfId="2507" xr:uid="{00000000-0005-0000-0000-0000CC090000}"/>
    <cellStyle name="표준 17 4" xfId="2508" xr:uid="{00000000-0005-0000-0000-0000CD090000}"/>
    <cellStyle name="표준 17 5" xfId="2509" xr:uid="{00000000-0005-0000-0000-0000CE090000}"/>
    <cellStyle name="표준 18" xfId="2510" xr:uid="{00000000-0005-0000-0000-0000CF090000}"/>
    <cellStyle name="표준 18 2" xfId="2511" xr:uid="{00000000-0005-0000-0000-0000D0090000}"/>
    <cellStyle name="표준 18 3" xfId="2512" xr:uid="{00000000-0005-0000-0000-0000D1090000}"/>
    <cellStyle name="표준 18 4" xfId="2513" xr:uid="{00000000-0005-0000-0000-0000D2090000}"/>
    <cellStyle name="표준 18 5" xfId="2514" xr:uid="{00000000-0005-0000-0000-0000D3090000}"/>
    <cellStyle name="표준 19" xfId="2515" xr:uid="{00000000-0005-0000-0000-0000D4090000}"/>
    <cellStyle name="표준 19 2" xfId="2516" xr:uid="{00000000-0005-0000-0000-0000D5090000}"/>
    <cellStyle name="표준 19 3" xfId="2517" xr:uid="{00000000-0005-0000-0000-0000D6090000}"/>
    <cellStyle name="표준 19 4" xfId="2518" xr:uid="{00000000-0005-0000-0000-0000D7090000}"/>
    <cellStyle name="표준 19 5" xfId="2519" xr:uid="{00000000-0005-0000-0000-0000D8090000}"/>
    <cellStyle name="표준 2" xfId="2520" xr:uid="{00000000-0005-0000-0000-0000D9090000}"/>
    <cellStyle name="표준 2 2" xfId="2521" xr:uid="{00000000-0005-0000-0000-0000DA090000}"/>
    <cellStyle name="표준 2 3" xfId="2522" xr:uid="{00000000-0005-0000-0000-0000DB090000}"/>
    <cellStyle name="표준 2 4" xfId="2523" xr:uid="{00000000-0005-0000-0000-0000DC090000}"/>
    <cellStyle name="표준 2 5" xfId="2524" xr:uid="{00000000-0005-0000-0000-0000DD090000}"/>
    <cellStyle name="표준 2 6" xfId="2525" xr:uid="{00000000-0005-0000-0000-0000DE090000}"/>
    <cellStyle name="표준 2 7" xfId="2526" xr:uid="{00000000-0005-0000-0000-0000DF090000}"/>
    <cellStyle name="표준 2 8" xfId="2527" xr:uid="{00000000-0005-0000-0000-0000E0090000}"/>
    <cellStyle name="표준 20" xfId="2528" xr:uid="{00000000-0005-0000-0000-0000E1090000}"/>
    <cellStyle name="표준 21" xfId="2529" xr:uid="{00000000-0005-0000-0000-0000E2090000}"/>
    <cellStyle name="표준 22" xfId="2530" xr:uid="{00000000-0005-0000-0000-0000E3090000}"/>
    <cellStyle name="표준 22 2" xfId="2531" xr:uid="{00000000-0005-0000-0000-0000E4090000}"/>
    <cellStyle name="표준 22 3" xfId="2532" xr:uid="{00000000-0005-0000-0000-0000E5090000}"/>
    <cellStyle name="표준 22 4" xfId="2533" xr:uid="{00000000-0005-0000-0000-0000E6090000}"/>
    <cellStyle name="표준 22 5" xfId="2534" xr:uid="{00000000-0005-0000-0000-0000E7090000}"/>
    <cellStyle name="표준 23" xfId="2535" xr:uid="{00000000-0005-0000-0000-0000E8090000}"/>
    <cellStyle name="표준 23 2" xfId="2536" xr:uid="{00000000-0005-0000-0000-0000E9090000}"/>
    <cellStyle name="표준 23 3" xfId="2537" xr:uid="{00000000-0005-0000-0000-0000EA090000}"/>
    <cellStyle name="표준 23 4" xfId="2538" xr:uid="{00000000-0005-0000-0000-0000EB090000}"/>
    <cellStyle name="표준 23 5" xfId="2539" xr:uid="{00000000-0005-0000-0000-0000EC090000}"/>
    <cellStyle name="표준 24" xfId="2540" xr:uid="{00000000-0005-0000-0000-0000ED090000}"/>
    <cellStyle name="표준 25" xfId="2541" xr:uid="{00000000-0005-0000-0000-0000EE090000}"/>
    <cellStyle name="표준 26" xfId="2542" xr:uid="{00000000-0005-0000-0000-0000EF090000}"/>
    <cellStyle name="표준 27" xfId="2543" xr:uid="{00000000-0005-0000-0000-0000F0090000}"/>
    <cellStyle name="표준 27 10" xfId="2544" xr:uid="{00000000-0005-0000-0000-0000F1090000}"/>
    <cellStyle name="표준 27 2" xfId="2545" xr:uid="{00000000-0005-0000-0000-0000F2090000}"/>
    <cellStyle name="표준 27 3" xfId="2546" xr:uid="{00000000-0005-0000-0000-0000F3090000}"/>
    <cellStyle name="표준 27 4" xfId="2547" xr:uid="{00000000-0005-0000-0000-0000F4090000}"/>
    <cellStyle name="표준 27 5" xfId="2548" xr:uid="{00000000-0005-0000-0000-0000F5090000}"/>
    <cellStyle name="표준 27 6" xfId="2549" xr:uid="{00000000-0005-0000-0000-0000F6090000}"/>
    <cellStyle name="표준 27 7" xfId="2550" xr:uid="{00000000-0005-0000-0000-0000F7090000}"/>
    <cellStyle name="표준 27 8" xfId="2551" xr:uid="{00000000-0005-0000-0000-0000F8090000}"/>
    <cellStyle name="표준 27 9" xfId="2552" xr:uid="{00000000-0005-0000-0000-0000F9090000}"/>
    <cellStyle name="표준 28" xfId="2553" xr:uid="{00000000-0005-0000-0000-0000FA090000}"/>
    <cellStyle name="표준 29" xfId="2554" xr:uid="{00000000-0005-0000-0000-0000FB090000}"/>
    <cellStyle name="표준 29 2" xfId="2555" xr:uid="{00000000-0005-0000-0000-0000FC090000}"/>
    <cellStyle name="표준 29 3" xfId="2556" xr:uid="{00000000-0005-0000-0000-0000FD090000}"/>
    <cellStyle name="표준 3" xfId="2557" xr:uid="{00000000-0005-0000-0000-0000FE090000}"/>
    <cellStyle name="표준 3 2" xfId="2558" xr:uid="{00000000-0005-0000-0000-0000FF090000}"/>
    <cellStyle name="표준 3 3" xfId="2559" xr:uid="{00000000-0005-0000-0000-0000000A0000}"/>
    <cellStyle name="표준 3_자금청구양식(2009년4월)" xfId="2560" xr:uid="{00000000-0005-0000-0000-0000010A0000}"/>
    <cellStyle name="표준 30" xfId="2561" xr:uid="{00000000-0005-0000-0000-0000030A0000}"/>
    <cellStyle name="표준 31" xfId="2788" xr:uid="{9872C38A-25BA-41F6-9B7A-EFFDBD62B46E}"/>
    <cellStyle name="표준 37" xfId="2562" xr:uid="{00000000-0005-0000-0000-0000040A0000}"/>
    <cellStyle name="표준 38" xfId="2563" xr:uid="{00000000-0005-0000-0000-0000050A0000}"/>
    <cellStyle name="표준 4" xfId="2564" xr:uid="{00000000-0005-0000-0000-0000060A0000}"/>
    <cellStyle name="표준 4 10" xfId="2565" xr:uid="{00000000-0005-0000-0000-0000070A0000}"/>
    <cellStyle name="표준 4 11" xfId="2566" xr:uid="{00000000-0005-0000-0000-0000080A0000}"/>
    <cellStyle name="표준 4 12" xfId="2567" xr:uid="{00000000-0005-0000-0000-0000090A0000}"/>
    <cellStyle name="표준 4 13" xfId="2568" xr:uid="{00000000-0005-0000-0000-00000A0A0000}"/>
    <cellStyle name="표준 4 14" xfId="2569" xr:uid="{00000000-0005-0000-0000-00000B0A0000}"/>
    <cellStyle name="표준 4 15" xfId="2570" xr:uid="{00000000-0005-0000-0000-00000C0A0000}"/>
    <cellStyle name="표준 4 16" xfId="2571" xr:uid="{00000000-0005-0000-0000-00000D0A0000}"/>
    <cellStyle name="표준 4 17" xfId="2572" xr:uid="{00000000-0005-0000-0000-00000E0A0000}"/>
    <cellStyle name="표준 4 18" xfId="2573" xr:uid="{00000000-0005-0000-0000-00000F0A0000}"/>
    <cellStyle name="표준 4 19" xfId="2574" xr:uid="{00000000-0005-0000-0000-0000100A0000}"/>
    <cellStyle name="표준 4 2" xfId="2575" xr:uid="{00000000-0005-0000-0000-0000110A0000}"/>
    <cellStyle name="표준 4 2 2" xfId="2576" xr:uid="{00000000-0005-0000-0000-0000120A0000}"/>
    <cellStyle name="표준 4 2 3" xfId="2577" xr:uid="{00000000-0005-0000-0000-0000130A0000}"/>
    <cellStyle name="표준 4 2 4" xfId="2578" xr:uid="{00000000-0005-0000-0000-0000140A0000}"/>
    <cellStyle name="표준 4 2 5" xfId="2579" xr:uid="{00000000-0005-0000-0000-0000150A0000}"/>
    <cellStyle name="표준 4 2 6" xfId="2580" xr:uid="{00000000-0005-0000-0000-0000160A0000}"/>
    <cellStyle name="표준 4 20" xfId="2581" xr:uid="{00000000-0005-0000-0000-0000170A0000}"/>
    <cellStyle name="표준 4 21" xfId="2582" xr:uid="{00000000-0005-0000-0000-0000180A0000}"/>
    <cellStyle name="표준 4 22" xfId="2583" xr:uid="{00000000-0005-0000-0000-0000190A0000}"/>
    <cellStyle name="표준 4 23" xfId="2584" xr:uid="{00000000-0005-0000-0000-00001A0A0000}"/>
    <cellStyle name="표준 4 24" xfId="2585" xr:uid="{00000000-0005-0000-0000-00001B0A0000}"/>
    <cellStyle name="표준 4 25" xfId="2586" xr:uid="{00000000-0005-0000-0000-00001C0A0000}"/>
    <cellStyle name="표준 4 26" xfId="2587" xr:uid="{00000000-0005-0000-0000-00001D0A0000}"/>
    <cellStyle name="표준 4 27" xfId="2588" xr:uid="{00000000-0005-0000-0000-00001E0A0000}"/>
    <cellStyle name="표준 4 3" xfId="2589" xr:uid="{00000000-0005-0000-0000-00001F0A0000}"/>
    <cellStyle name="표준 4 4" xfId="2590" xr:uid="{00000000-0005-0000-0000-0000200A0000}"/>
    <cellStyle name="표준 4 5" xfId="2591" xr:uid="{00000000-0005-0000-0000-0000210A0000}"/>
    <cellStyle name="표준 4 6" xfId="2592" xr:uid="{00000000-0005-0000-0000-0000220A0000}"/>
    <cellStyle name="표준 4 7" xfId="2593" xr:uid="{00000000-0005-0000-0000-0000230A0000}"/>
    <cellStyle name="표준 4 8" xfId="2594" xr:uid="{00000000-0005-0000-0000-0000240A0000}"/>
    <cellStyle name="표준 4 9" xfId="2595" xr:uid="{00000000-0005-0000-0000-0000250A0000}"/>
    <cellStyle name="표준 5" xfId="2596" xr:uid="{00000000-0005-0000-0000-0000260A0000}"/>
    <cellStyle name="표준 5 2" xfId="2597" xr:uid="{00000000-0005-0000-0000-0000270A0000}"/>
    <cellStyle name="표준 55" xfId="2598" xr:uid="{00000000-0005-0000-0000-0000280A0000}"/>
    <cellStyle name="표준 6" xfId="2599" xr:uid="{00000000-0005-0000-0000-0000290A0000}"/>
    <cellStyle name="표준 6 10" xfId="2600" xr:uid="{00000000-0005-0000-0000-00002A0A0000}"/>
    <cellStyle name="표준 6 11" xfId="2601" xr:uid="{00000000-0005-0000-0000-00002B0A0000}"/>
    <cellStyle name="표준 6 12" xfId="2602" xr:uid="{00000000-0005-0000-0000-00002C0A0000}"/>
    <cellStyle name="표준 6 13" xfId="2603" xr:uid="{00000000-0005-0000-0000-00002D0A0000}"/>
    <cellStyle name="표준 6 14" xfId="2604" xr:uid="{00000000-0005-0000-0000-00002E0A0000}"/>
    <cellStyle name="표준 6 15" xfId="2605" xr:uid="{00000000-0005-0000-0000-00002F0A0000}"/>
    <cellStyle name="표준 6 16" xfId="2606" xr:uid="{00000000-0005-0000-0000-0000300A0000}"/>
    <cellStyle name="표준 6 17" xfId="2607" xr:uid="{00000000-0005-0000-0000-0000310A0000}"/>
    <cellStyle name="표준 6 18" xfId="2608" xr:uid="{00000000-0005-0000-0000-0000320A0000}"/>
    <cellStyle name="표준 6 19" xfId="2609" xr:uid="{00000000-0005-0000-0000-0000330A0000}"/>
    <cellStyle name="표준 6 2" xfId="2610" xr:uid="{00000000-0005-0000-0000-0000340A0000}"/>
    <cellStyle name="표준 6 2 10" xfId="2611" xr:uid="{00000000-0005-0000-0000-0000350A0000}"/>
    <cellStyle name="표준 6 2 11" xfId="2612" xr:uid="{00000000-0005-0000-0000-0000360A0000}"/>
    <cellStyle name="표준 6 2 12" xfId="2613" xr:uid="{00000000-0005-0000-0000-0000370A0000}"/>
    <cellStyle name="표준 6 2 13" xfId="2614" xr:uid="{00000000-0005-0000-0000-0000380A0000}"/>
    <cellStyle name="표준 6 2 14" xfId="2615" xr:uid="{00000000-0005-0000-0000-0000390A0000}"/>
    <cellStyle name="표준 6 2 15" xfId="2616" xr:uid="{00000000-0005-0000-0000-00003A0A0000}"/>
    <cellStyle name="표준 6 2 16" xfId="2617" xr:uid="{00000000-0005-0000-0000-00003B0A0000}"/>
    <cellStyle name="표준 6 2 17" xfId="2618" xr:uid="{00000000-0005-0000-0000-00003C0A0000}"/>
    <cellStyle name="표준 6 2 18" xfId="2619" xr:uid="{00000000-0005-0000-0000-00003D0A0000}"/>
    <cellStyle name="표준 6 2 19" xfId="2620" xr:uid="{00000000-0005-0000-0000-00003E0A0000}"/>
    <cellStyle name="표준 6 2 2" xfId="2621" xr:uid="{00000000-0005-0000-0000-00003F0A0000}"/>
    <cellStyle name="표준 6 2 2 2" xfId="2622" xr:uid="{00000000-0005-0000-0000-0000400A0000}"/>
    <cellStyle name="표준 6 2 2 3" xfId="2623" xr:uid="{00000000-0005-0000-0000-0000410A0000}"/>
    <cellStyle name="표준 6 2 2 4" xfId="2624" xr:uid="{00000000-0005-0000-0000-0000420A0000}"/>
    <cellStyle name="표준 6 2 2 5" xfId="2625" xr:uid="{00000000-0005-0000-0000-0000430A0000}"/>
    <cellStyle name="표준 6 2 2 6" xfId="2626" xr:uid="{00000000-0005-0000-0000-0000440A0000}"/>
    <cellStyle name="표준 6 2 3" xfId="2627" xr:uid="{00000000-0005-0000-0000-0000450A0000}"/>
    <cellStyle name="표준 6 2 4" xfId="2628" xr:uid="{00000000-0005-0000-0000-0000460A0000}"/>
    <cellStyle name="표준 6 2 5" xfId="2629" xr:uid="{00000000-0005-0000-0000-0000470A0000}"/>
    <cellStyle name="표준 6 2 6" xfId="2630" xr:uid="{00000000-0005-0000-0000-0000480A0000}"/>
    <cellStyle name="표준 6 2 7" xfId="2631" xr:uid="{00000000-0005-0000-0000-0000490A0000}"/>
    <cellStyle name="표준 6 2 8" xfId="2632" xr:uid="{00000000-0005-0000-0000-00004A0A0000}"/>
    <cellStyle name="표준 6 2 9" xfId="2633" xr:uid="{00000000-0005-0000-0000-00004B0A0000}"/>
    <cellStyle name="표준 6 20" xfId="2634" xr:uid="{00000000-0005-0000-0000-00004C0A0000}"/>
    <cellStyle name="표준 6 21" xfId="2635" xr:uid="{00000000-0005-0000-0000-00004D0A0000}"/>
    <cellStyle name="표준 6 22" xfId="2636" xr:uid="{00000000-0005-0000-0000-00004E0A0000}"/>
    <cellStyle name="표준 6 23" xfId="2637" xr:uid="{00000000-0005-0000-0000-00004F0A0000}"/>
    <cellStyle name="표준 6 24" xfId="2638" xr:uid="{00000000-0005-0000-0000-0000500A0000}"/>
    <cellStyle name="표준 6 25" xfId="2639" xr:uid="{00000000-0005-0000-0000-0000510A0000}"/>
    <cellStyle name="표준 6 26" xfId="2640" xr:uid="{00000000-0005-0000-0000-0000520A0000}"/>
    <cellStyle name="표준 6 27" xfId="2641" xr:uid="{00000000-0005-0000-0000-0000530A0000}"/>
    <cellStyle name="표준 6 28" xfId="2642" xr:uid="{00000000-0005-0000-0000-0000540A0000}"/>
    <cellStyle name="표준 6 29" xfId="2643" xr:uid="{00000000-0005-0000-0000-0000550A0000}"/>
    <cellStyle name="표준 6 3" xfId="2644" xr:uid="{00000000-0005-0000-0000-0000560A0000}"/>
    <cellStyle name="표준 6 30" xfId="2645" xr:uid="{00000000-0005-0000-0000-0000570A0000}"/>
    <cellStyle name="표준 6 31" xfId="2646" xr:uid="{00000000-0005-0000-0000-0000580A0000}"/>
    <cellStyle name="표준 6 32" xfId="2647" xr:uid="{00000000-0005-0000-0000-0000590A0000}"/>
    <cellStyle name="표준 6 33" xfId="2648" xr:uid="{00000000-0005-0000-0000-00005A0A0000}"/>
    <cellStyle name="표준 6 34" xfId="2649" xr:uid="{00000000-0005-0000-0000-00005B0A0000}"/>
    <cellStyle name="표준 6 35" xfId="2650" xr:uid="{00000000-0005-0000-0000-00005C0A0000}"/>
    <cellStyle name="표준 6 36" xfId="2651" xr:uid="{00000000-0005-0000-0000-00005D0A0000}"/>
    <cellStyle name="표준 6 37" xfId="2652" xr:uid="{00000000-0005-0000-0000-00005E0A0000}"/>
    <cellStyle name="표준 6 38" xfId="2653" xr:uid="{00000000-0005-0000-0000-00005F0A0000}"/>
    <cellStyle name="표준 6 39" xfId="2654" xr:uid="{00000000-0005-0000-0000-0000600A0000}"/>
    <cellStyle name="표준 6 4" xfId="2655" xr:uid="{00000000-0005-0000-0000-0000610A0000}"/>
    <cellStyle name="표준 6 40" xfId="2656" xr:uid="{00000000-0005-0000-0000-0000620A0000}"/>
    <cellStyle name="표준 6 41" xfId="2657" xr:uid="{00000000-0005-0000-0000-0000630A0000}"/>
    <cellStyle name="표준 6 42" xfId="2658" xr:uid="{00000000-0005-0000-0000-0000640A0000}"/>
    <cellStyle name="표준 6 43" xfId="2659" xr:uid="{00000000-0005-0000-0000-0000650A0000}"/>
    <cellStyle name="표준 6 44" xfId="2660" xr:uid="{00000000-0005-0000-0000-0000660A0000}"/>
    <cellStyle name="표준 6 45" xfId="2661" xr:uid="{00000000-0005-0000-0000-0000670A0000}"/>
    <cellStyle name="표준 6 46" xfId="2662" xr:uid="{00000000-0005-0000-0000-0000680A0000}"/>
    <cellStyle name="표준 6 47" xfId="2663" xr:uid="{00000000-0005-0000-0000-0000690A0000}"/>
    <cellStyle name="표준 6 48" xfId="2664" xr:uid="{00000000-0005-0000-0000-00006A0A0000}"/>
    <cellStyle name="표준 6 49" xfId="2665" xr:uid="{00000000-0005-0000-0000-00006B0A0000}"/>
    <cellStyle name="표준 6 5" xfId="2666" xr:uid="{00000000-0005-0000-0000-00006C0A0000}"/>
    <cellStyle name="표준 6 50" xfId="2667" xr:uid="{00000000-0005-0000-0000-00006D0A0000}"/>
    <cellStyle name="표준 6 51" xfId="2668" xr:uid="{00000000-0005-0000-0000-00006E0A0000}"/>
    <cellStyle name="표준 6 52" xfId="2669" xr:uid="{00000000-0005-0000-0000-00006F0A0000}"/>
    <cellStyle name="표준 6 53" xfId="2670" xr:uid="{00000000-0005-0000-0000-0000700A0000}"/>
    <cellStyle name="표준 6 54" xfId="2671" xr:uid="{00000000-0005-0000-0000-0000710A0000}"/>
    <cellStyle name="표준 6 55" xfId="2672" xr:uid="{00000000-0005-0000-0000-0000720A0000}"/>
    <cellStyle name="표준 6 56" xfId="2673" xr:uid="{00000000-0005-0000-0000-0000730A0000}"/>
    <cellStyle name="표준 6 57" xfId="2674" xr:uid="{00000000-0005-0000-0000-0000740A0000}"/>
    <cellStyle name="표준 6 58" xfId="2675" xr:uid="{00000000-0005-0000-0000-0000750A0000}"/>
    <cellStyle name="표준 6 59" xfId="2676" xr:uid="{00000000-0005-0000-0000-0000760A0000}"/>
    <cellStyle name="표준 6 6" xfId="2677" xr:uid="{00000000-0005-0000-0000-0000770A0000}"/>
    <cellStyle name="표준 6 60" xfId="2678" xr:uid="{00000000-0005-0000-0000-0000780A0000}"/>
    <cellStyle name="표준 6 61" xfId="2679" xr:uid="{00000000-0005-0000-0000-0000790A0000}"/>
    <cellStyle name="표준 6 62" xfId="2680" xr:uid="{00000000-0005-0000-0000-00007A0A0000}"/>
    <cellStyle name="표준 6 63" xfId="2681" xr:uid="{00000000-0005-0000-0000-00007B0A0000}"/>
    <cellStyle name="표준 6 64" xfId="2682" xr:uid="{00000000-0005-0000-0000-00007C0A0000}"/>
    <cellStyle name="표준 6 65" xfId="2683" xr:uid="{00000000-0005-0000-0000-00007D0A0000}"/>
    <cellStyle name="표준 6 66" xfId="2684" xr:uid="{00000000-0005-0000-0000-00007E0A0000}"/>
    <cellStyle name="표준 6 67" xfId="2685" xr:uid="{00000000-0005-0000-0000-00007F0A0000}"/>
    <cellStyle name="표준 6 68" xfId="2686" xr:uid="{00000000-0005-0000-0000-0000800A0000}"/>
    <cellStyle name="표준 6 69" xfId="2687" xr:uid="{00000000-0005-0000-0000-0000810A0000}"/>
    <cellStyle name="표준 6 7" xfId="2688" xr:uid="{00000000-0005-0000-0000-0000820A0000}"/>
    <cellStyle name="표준 6 70" xfId="2689" xr:uid="{00000000-0005-0000-0000-0000830A0000}"/>
    <cellStyle name="표준 6 8" xfId="2690" xr:uid="{00000000-0005-0000-0000-0000840A0000}"/>
    <cellStyle name="표준 6 9" xfId="2691" xr:uid="{00000000-0005-0000-0000-0000850A0000}"/>
    <cellStyle name="표준 7" xfId="2692" xr:uid="{00000000-0005-0000-0000-0000860A0000}"/>
    <cellStyle name="표준 7 10" xfId="2693" xr:uid="{00000000-0005-0000-0000-0000870A0000}"/>
    <cellStyle name="표준 7 11" xfId="2694" xr:uid="{00000000-0005-0000-0000-0000880A0000}"/>
    <cellStyle name="표준 7 12" xfId="2695" xr:uid="{00000000-0005-0000-0000-0000890A0000}"/>
    <cellStyle name="표준 7 13" xfId="2696" xr:uid="{00000000-0005-0000-0000-00008A0A0000}"/>
    <cellStyle name="표준 7 14" xfId="2697" xr:uid="{00000000-0005-0000-0000-00008B0A0000}"/>
    <cellStyle name="표준 7 15" xfId="2698" xr:uid="{00000000-0005-0000-0000-00008C0A0000}"/>
    <cellStyle name="표준 7 16" xfId="2699" xr:uid="{00000000-0005-0000-0000-00008D0A0000}"/>
    <cellStyle name="표준 7 17" xfId="2700" xr:uid="{00000000-0005-0000-0000-00008E0A0000}"/>
    <cellStyle name="표준 7 18" xfId="2701" xr:uid="{00000000-0005-0000-0000-00008F0A0000}"/>
    <cellStyle name="표준 7 19" xfId="2702" xr:uid="{00000000-0005-0000-0000-0000900A0000}"/>
    <cellStyle name="표준 7 2" xfId="2703" xr:uid="{00000000-0005-0000-0000-0000910A0000}"/>
    <cellStyle name="표준 7 2 10" xfId="2704" xr:uid="{00000000-0005-0000-0000-0000920A0000}"/>
    <cellStyle name="표준 7 2 11" xfId="2705" xr:uid="{00000000-0005-0000-0000-0000930A0000}"/>
    <cellStyle name="표준 7 2 12" xfId="2706" xr:uid="{00000000-0005-0000-0000-0000940A0000}"/>
    <cellStyle name="표준 7 2 13" xfId="2707" xr:uid="{00000000-0005-0000-0000-0000950A0000}"/>
    <cellStyle name="표준 7 2 14" xfId="2708" xr:uid="{00000000-0005-0000-0000-0000960A0000}"/>
    <cellStyle name="표준 7 2 15" xfId="2709" xr:uid="{00000000-0005-0000-0000-0000970A0000}"/>
    <cellStyle name="표준 7 2 2" xfId="2710" xr:uid="{00000000-0005-0000-0000-0000980A0000}"/>
    <cellStyle name="표준 7 2 3" xfId="2711" xr:uid="{00000000-0005-0000-0000-0000990A0000}"/>
    <cellStyle name="표준 7 2 4" xfId="2712" xr:uid="{00000000-0005-0000-0000-00009A0A0000}"/>
    <cellStyle name="표준 7 2 5" xfId="2713" xr:uid="{00000000-0005-0000-0000-00009B0A0000}"/>
    <cellStyle name="표준 7 2 6" xfId="2714" xr:uid="{00000000-0005-0000-0000-00009C0A0000}"/>
    <cellStyle name="표준 7 2 7" xfId="2715" xr:uid="{00000000-0005-0000-0000-00009D0A0000}"/>
    <cellStyle name="표준 7 2 8" xfId="2716" xr:uid="{00000000-0005-0000-0000-00009E0A0000}"/>
    <cellStyle name="표준 7 2 9" xfId="2717" xr:uid="{00000000-0005-0000-0000-00009F0A0000}"/>
    <cellStyle name="표준 7 20" xfId="2718" xr:uid="{00000000-0005-0000-0000-0000A00A0000}"/>
    <cellStyle name="표준 7 21" xfId="2719" xr:uid="{00000000-0005-0000-0000-0000A10A0000}"/>
    <cellStyle name="표준 7 22" xfId="2720" xr:uid="{00000000-0005-0000-0000-0000A20A0000}"/>
    <cellStyle name="표준 7 23" xfId="2721" xr:uid="{00000000-0005-0000-0000-0000A30A0000}"/>
    <cellStyle name="표준 7 24" xfId="2722" xr:uid="{00000000-0005-0000-0000-0000A40A0000}"/>
    <cellStyle name="표준 7 25" xfId="2723" xr:uid="{00000000-0005-0000-0000-0000A50A0000}"/>
    <cellStyle name="표준 7 26" xfId="2724" xr:uid="{00000000-0005-0000-0000-0000A60A0000}"/>
    <cellStyle name="표준 7 27" xfId="2725" xr:uid="{00000000-0005-0000-0000-0000A70A0000}"/>
    <cellStyle name="표준 7 28" xfId="2726" xr:uid="{00000000-0005-0000-0000-0000A80A0000}"/>
    <cellStyle name="표준 7 29" xfId="2727" xr:uid="{00000000-0005-0000-0000-0000A90A0000}"/>
    <cellStyle name="표준 7 3" xfId="2728" xr:uid="{00000000-0005-0000-0000-0000AA0A0000}"/>
    <cellStyle name="표준 7 30" xfId="2729" xr:uid="{00000000-0005-0000-0000-0000AB0A0000}"/>
    <cellStyle name="표준 7 31" xfId="2730" xr:uid="{00000000-0005-0000-0000-0000AC0A0000}"/>
    <cellStyle name="표준 7 32" xfId="2731" xr:uid="{00000000-0005-0000-0000-0000AD0A0000}"/>
    <cellStyle name="표준 7 33" xfId="2732" xr:uid="{00000000-0005-0000-0000-0000AE0A0000}"/>
    <cellStyle name="표준 7 34" xfId="2733" xr:uid="{00000000-0005-0000-0000-0000AF0A0000}"/>
    <cellStyle name="표준 7 35" xfId="2734" xr:uid="{00000000-0005-0000-0000-0000B00A0000}"/>
    <cellStyle name="표준 7 36" xfId="2735" xr:uid="{00000000-0005-0000-0000-0000B10A0000}"/>
    <cellStyle name="표준 7 37" xfId="2736" xr:uid="{00000000-0005-0000-0000-0000B20A0000}"/>
    <cellStyle name="표준 7 38" xfId="2737" xr:uid="{00000000-0005-0000-0000-0000B30A0000}"/>
    <cellStyle name="표준 7 39" xfId="2738" xr:uid="{00000000-0005-0000-0000-0000B40A0000}"/>
    <cellStyle name="표준 7 4" xfId="2739" xr:uid="{00000000-0005-0000-0000-0000B50A0000}"/>
    <cellStyle name="표준 7 40" xfId="2740" xr:uid="{00000000-0005-0000-0000-0000B60A0000}"/>
    <cellStyle name="표준 7 41" xfId="2741" xr:uid="{00000000-0005-0000-0000-0000B70A0000}"/>
    <cellStyle name="표준 7 42" xfId="2742" xr:uid="{00000000-0005-0000-0000-0000B80A0000}"/>
    <cellStyle name="표준 7 43" xfId="2743" xr:uid="{00000000-0005-0000-0000-0000B90A0000}"/>
    <cellStyle name="표준 7 44" xfId="2744" xr:uid="{00000000-0005-0000-0000-0000BA0A0000}"/>
    <cellStyle name="표준 7 45" xfId="2745" xr:uid="{00000000-0005-0000-0000-0000BB0A0000}"/>
    <cellStyle name="표준 7 46" xfId="2746" xr:uid="{00000000-0005-0000-0000-0000BC0A0000}"/>
    <cellStyle name="표준 7 47" xfId="2747" xr:uid="{00000000-0005-0000-0000-0000BD0A0000}"/>
    <cellStyle name="표준 7 48" xfId="2748" xr:uid="{00000000-0005-0000-0000-0000BE0A0000}"/>
    <cellStyle name="표준 7 49" xfId="2749" xr:uid="{00000000-0005-0000-0000-0000BF0A0000}"/>
    <cellStyle name="표준 7 5" xfId="2750" xr:uid="{00000000-0005-0000-0000-0000C00A0000}"/>
    <cellStyle name="표준 7 50" xfId="2751" xr:uid="{00000000-0005-0000-0000-0000C10A0000}"/>
    <cellStyle name="표준 7 51" xfId="2752" xr:uid="{00000000-0005-0000-0000-0000C20A0000}"/>
    <cellStyle name="표준 7 52" xfId="2753" xr:uid="{00000000-0005-0000-0000-0000C30A0000}"/>
    <cellStyle name="표준 7 53" xfId="2754" xr:uid="{00000000-0005-0000-0000-0000C40A0000}"/>
    <cellStyle name="표준 7 54" xfId="2755" xr:uid="{00000000-0005-0000-0000-0000C50A0000}"/>
    <cellStyle name="표준 7 55" xfId="2756" xr:uid="{00000000-0005-0000-0000-0000C60A0000}"/>
    <cellStyle name="표준 7 56" xfId="2757" xr:uid="{00000000-0005-0000-0000-0000C70A0000}"/>
    <cellStyle name="표준 7 57" xfId="2758" xr:uid="{00000000-0005-0000-0000-0000C80A0000}"/>
    <cellStyle name="표준 7 58" xfId="2759" xr:uid="{00000000-0005-0000-0000-0000C90A0000}"/>
    <cellStyle name="표준 7 59" xfId="2760" xr:uid="{00000000-0005-0000-0000-0000CA0A0000}"/>
    <cellStyle name="표준 7 6" xfId="2761" xr:uid="{00000000-0005-0000-0000-0000CB0A0000}"/>
    <cellStyle name="표준 7 60" xfId="2762" xr:uid="{00000000-0005-0000-0000-0000CC0A0000}"/>
    <cellStyle name="표준 7 61" xfId="2763" xr:uid="{00000000-0005-0000-0000-0000CD0A0000}"/>
    <cellStyle name="표준 7 62" xfId="2764" xr:uid="{00000000-0005-0000-0000-0000CE0A0000}"/>
    <cellStyle name="표준 7 63" xfId="2765" xr:uid="{00000000-0005-0000-0000-0000CF0A0000}"/>
    <cellStyle name="표준 7 64" xfId="2766" xr:uid="{00000000-0005-0000-0000-0000D00A0000}"/>
    <cellStyle name="표준 7 65" xfId="2767" xr:uid="{00000000-0005-0000-0000-0000D10A0000}"/>
    <cellStyle name="표준 7 66" xfId="2768" xr:uid="{00000000-0005-0000-0000-0000D20A0000}"/>
    <cellStyle name="표준 7 7" xfId="2769" xr:uid="{00000000-0005-0000-0000-0000D30A0000}"/>
    <cellStyle name="표준 7 8" xfId="2770" xr:uid="{00000000-0005-0000-0000-0000D40A0000}"/>
    <cellStyle name="표준 7 9" xfId="2771" xr:uid="{00000000-0005-0000-0000-0000D50A0000}"/>
    <cellStyle name="표준 8" xfId="2772" xr:uid="{00000000-0005-0000-0000-0000D60A0000}"/>
    <cellStyle name="표준 9" xfId="2773" xr:uid="{00000000-0005-0000-0000-0000D70A0000}"/>
    <cellStyle name="표준 9 2" xfId="2774" xr:uid="{00000000-0005-0000-0000-0000D80A0000}"/>
    <cellStyle name="표준 9 3" xfId="2775" xr:uid="{00000000-0005-0000-0000-0000D90A0000}"/>
    <cellStyle name="표준 9 4" xfId="2776" xr:uid="{00000000-0005-0000-0000-0000DA0A0000}"/>
    <cellStyle name="표준 9 5" xfId="2777" xr:uid="{00000000-0005-0000-0000-0000DB0A0000}"/>
    <cellStyle name="표준 9 6" xfId="2778" xr:uid="{00000000-0005-0000-0000-0000DC0A0000}"/>
    <cellStyle name="標準_Akia(F）-8" xfId="2779" xr:uid="{00000000-0005-0000-0000-0000DD0A0000}"/>
    <cellStyle name="표준℘Sheet8 (3)" xfId="2780" xr:uid="{00000000-0005-0000-0000-0000DF0A0000}"/>
    <cellStyle name="하이퍼링크 2" xfId="2781" xr:uid="{00000000-0005-0000-0000-0000E00A0000}"/>
    <cellStyle name="합산" xfId="2782" xr:uid="{00000000-0005-0000-0000-0000E10A0000}"/>
    <cellStyle name="화폐기호" xfId="2783" xr:uid="{00000000-0005-0000-0000-0000E20A0000}"/>
    <cellStyle name="화폐기호 2" xfId="2784" xr:uid="{00000000-0005-0000-0000-0000E30A0000}"/>
    <cellStyle name="화폐기호0" xfId="2785" xr:uid="{00000000-0005-0000-0000-0000E40A0000}"/>
    <cellStyle name="화폐기호0 2" xfId="2786" xr:uid="{00000000-0005-0000-0000-0000E5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png"/><Relationship Id="rId4" Type="http://schemas.openxmlformats.org/officeDocument/2006/relationships/image" Target="../media/image10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5.emf"/><Relationship Id="rId1" Type="http://schemas.openxmlformats.org/officeDocument/2006/relationships/image" Target="../media/image14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0</xdr:row>
          <xdr:rowOff>95250</xdr:rowOff>
        </xdr:from>
        <xdr:to>
          <xdr:col>11</xdr:col>
          <xdr:colOff>809625</xdr:colOff>
          <xdr:row>1</xdr:row>
          <xdr:rowOff>695325</xdr:rowOff>
        </xdr:to>
        <xdr:pic>
          <xdr:nvPicPr>
            <xdr:cNvPr id="1060888" name="Picture 2">
              <a:extLst>
                <a:ext uri="{FF2B5EF4-FFF2-40B4-BE49-F238E27FC236}">
                  <a16:creationId xmlns:a16="http://schemas.microsoft.com/office/drawing/2014/main" id="{00000000-0008-0000-0400-000018301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공사청구!$AN$2:$BN$5" spid="_x0000_s11409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72225" y="95250"/>
              <a:ext cx="4371975" cy="762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2</xdr:row>
          <xdr:rowOff>28575</xdr:rowOff>
        </xdr:from>
        <xdr:to>
          <xdr:col>10</xdr:col>
          <xdr:colOff>1143000</xdr:colOff>
          <xdr:row>4</xdr:row>
          <xdr:rowOff>247650</xdr:rowOff>
        </xdr:to>
        <xdr:pic>
          <xdr:nvPicPr>
            <xdr:cNvPr id="1060889" name="Picture 7">
              <a:extLst>
                <a:ext uri="{FF2B5EF4-FFF2-40B4-BE49-F238E27FC236}">
                  <a16:creationId xmlns:a16="http://schemas.microsoft.com/office/drawing/2014/main" id="{00000000-0008-0000-0400-000019301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공사청구!$AN$6:$BJ$9" spid="_x0000_s114097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372225" y="885825"/>
              <a:ext cx="3648075" cy="7715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762000</xdr:colOff>
          <xdr:row>0</xdr:row>
          <xdr:rowOff>124073</xdr:rowOff>
        </xdr:from>
        <xdr:to>
          <xdr:col>20</xdr:col>
          <xdr:colOff>732367</xdr:colOff>
          <xdr:row>1</xdr:row>
          <xdr:rowOff>328020</xdr:rowOff>
        </xdr:to>
        <xdr:pic>
          <xdr:nvPicPr>
            <xdr:cNvPr id="1058830" name="그림 2">
              <a:extLst>
                <a:ext uri="{FF2B5EF4-FFF2-40B4-BE49-F238E27FC236}">
                  <a16:creationId xmlns:a16="http://schemas.microsoft.com/office/drawing/2014/main" id="{00000000-0008-0000-0700-00000E281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공사청구!$AW$6:$BF$9" spid="_x0000_s113983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12588" y="124073"/>
              <a:ext cx="3399367" cy="103318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32</xdr:row>
      <xdr:rowOff>0</xdr:rowOff>
    </xdr:from>
    <xdr:to>
      <xdr:col>16</xdr:col>
      <xdr:colOff>180975</xdr:colOff>
      <xdr:row>32</xdr:row>
      <xdr:rowOff>142875</xdr:rowOff>
    </xdr:to>
    <xdr:pic>
      <xdr:nvPicPr>
        <xdr:cNvPr id="1062950" name="Picture 1" hidden="1">
          <a:extLst>
            <a:ext uri="{FF2B5EF4-FFF2-40B4-BE49-F238E27FC236}">
              <a16:creationId xmlns:a16="http://schemas.microsoft.com/office/drawing/2014/main" id="{00000000-0008-0000-0E00-000026381000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54550" y="992505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180975</xdr:colOff>
      <xdr:row>32</xdr:row>
      <xdr:rowOff>142875</xdr:rowOff>
    </xdr:to>
    <xdr:pic>
      <xdr:nvPicPr>
        <xdr:cNvPr id="1062951" name="Picture 7" hidden="1">
          <a:extLst>
            <a:ext uri="{FF2B5EF4-FFF2-40B4-BE49-F238E27FC236}">
              <a16:creationId xmlns:a16="http://schemas.microsoft.com/office/drawing/2014/main" id="{00000000-0008-0000-0E00-000027381000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54550" y="992505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180975</xdr:colOff>
      <xdr:row>32</xdr:row>
      <xdr:rowOff>142875</xdr:rowOff>
    </xdr:to>
    <xdr:pic>
      <xdr:nvPicPr>
        <xdr:cNvPr id="1062952" name="Picture 1" hidden="1">
          <a:extLst>
            <a:ext uri="{FF2B5EF4-FFF2-40B4-BE49-F238E27FC236}">
              <a16:creationId xmlns:a16="http://schemas.microsoft.com/office/drawing/2014/main" id="{00000000-0008-0000-0E00-000028381000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54550" y="992505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180975</xdr:colOff>
      <xdr:row>32</xdr:row>
      <xdr:rowOff>142875</xdr:rowOff>
    </xdr:to>
    <xdr:pic>
      <xdr:nvPicPr>
        <xdr:cNvPr id="1062953" name="Picture 7" hidden="1">
          <a:extLst>
            <a:ext uri="{FF2B5EF4-FFF2-40B4-BE49-F238E27FC236}">
              <a16:creationId xmlns:a16="http://schemas.microsoft.com/office/drawing/2014/main" id="{00000000-0008-0000-0E00-000029381000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54550" y="992505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54" name="Object 2">
          <a:extLst>
            <a:ext uri="{FF2B5EF4-FFF2-40B4-BE49-F238E27FC236}">
              <a16:creationId xmlns:a16="http://schemas.microsoft.com/office/drawing/2014/main" id="{00000000-0008-0000-0E00-00002A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55" name="Object 3">
          <a:extLst>
            <a:ext uri="{FF2B5EF4-FFF2-40B4-BE49-F238E27FC236}">
              <a16:creationId xmlns:a16="http://schemas.microsoft.com/office/drawing/2014/main" id="{00000000-0008-0000-0E00-00002B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56" name="Object 4">
          <a:extLst>
            <a:ext uri="{FF2B5EF4-FFF2-40B4-BE49-F238E27FC236}">
              <a16:creationId xmlns:a16="http://schemas.microsoft.com/office/drawing/2014/main" id="{00000000-0008-0000-0E00-00002C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57" name="Object 5">
          <a:extLst>
            <a:ext uri="{FF2B5EF4-FFF2-40B4-BE49-F238E27FC236}">
              <a16:creationId xmlns:a16="http://schemas.microsoft.com/office/drawing/2014/main" id="{00000000-0008-0000-0E00-00002D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58" name="Object 6">
          <a:extLst>
            <a:ext uri="{FF2B5EF4-FFF2-40B4-BE49-F238E27FC236}">
              <a16:creationId xmlns:a16="http://schemas.microsoft.com/office/drawing/2014/main" id="{00000000-0008-0000-0E00-00002E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59" name="Object 8">
          <a:extLst>
            <a:ext uri="{FF2B5EF4-FFF2-40B4-BE49-F238E27FC236}">
              <a16:creationId xmlns:a16="http://schemas.microsoft.com/office/drawing/2014/main" id="{00000000-0008-0000-0E00-00002F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60" name="Object 9">
          <a:extLst>
            <a:ext uri="{FF2B5EF4-FFF2-40B4-BE49-F238E27FC236}">
              <a16:creationId xmlns:a16="http://schemas.microsoft.com/office/drawing/2014/main" id="{00000000-0008-0000-0E00-000030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61" name="Object 10">
          <a:extLst>
            <a:ext uri="{FF2B5EF4-FFF2-40B4-BE49-F238E27FC236}">
              <a16:creationId xmlns:a16="http://schemas.microsoft.com/office/drawing/2014/main" id="{00000000-0008-0000-0E00-000031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62" name="Object 11">
          <a:extLst>
            <a:ext uri="{FF2B5EF4-FFF2-40B4-BE49-F238E27FC236}">
              <a16:creationId xmlns:a16="http://schemas.microsoft.com/office/drawing/2014/main" id="{00000000-0008-0000-0E00-000032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63" name="Object 12">
          <a:extLst>
            <a:ext uri="{FF2B5EF4-FFF2-40B4-BE49-F238E27FC236}">
              <a16:creationId xmlns:a16="http://schemas.microsoft.com/office/drawing/2014/main" id="{00000000-0008-0000-0E00-000033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64" name="Object 13">
          <a:extLst>
            <a:ext uri="{FF2B5EF4-FFF2-40B4-BE49-F238E27FC236}">
              <a16:creationId xmlns:a16="http://schemas.microsoft.com/office/drawing/2014/main" id="{00000000-0008-0000-0E00-000034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65" name="Object 14">
          <a:extLst>
            <a:ext uri="{FF2B5EF4-FFF2-40B4-BE49-F238E27FC236}">
              <a16:creationId xmlns:a16="http://schemas.microsoft.com/office/drawing/2014/main" id="{00000000-0008-0000-0E00-000035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66" name="Object 15">
          <a:extLst>
            <a:ext uri="{FF2B5EF4-FFF2-40B4-BE49-F238E27FC236}">
              <a16:creationId xmlns:a16="http://schemas.microsoft.com/office/drawing/2014/main" id="{00000000-0008-0000-0E00-000036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67" name="Object 16">
          <a:extLst>
            <a:ext uri="{FF2B5EF4-FFF2-40B4-BE49-F238E27FC236}">
              <a16:creationId xmlns:a16="http://schemas.microsoft.com/office/drawing/2014/main" id="{00000000-0008-0000-0E00-000037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68" name="Object 17">
          <a:extLst>
            <a:ext uri="{FF2B5EF4-FFF2-40B4-BE49-F238E27FC236}">
              <a16:creationId xmlns:a16="http://schemas.microsoft.com/office/drawing/2014/main" id="{00000000-0008-0000-0E00-000038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32</xdr:row>
      <xdr:rowOff>0</xdr:rowOff>
    </xdr:from>
    <xdr:to>
      <xdr:col>21</xdr:col>
      <xdr:colOff>600075</xdr:colOff>
      <xdr:row>33</xdr:row>
      <xdr:rowOff>209550</xdr:rowOff>
    </xdr:to>
    <xdr:pic>
      <xdr:nvPicPr>
        <xdr:cNvPr id="1062969" name="Object 18">
          <a:extLst>
            <a:ext uri="{FF2B5EF4-FFF2-40B4-BE49-F238E27FC236}">
              <a16:creationId xmlns:a16="http://schemas.microsoft.com/office/drawing/2014/main" id="{00000000-0008-0000-0E00-000039381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0" y="9925050"/>
          <a:ext cx="371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1492249</xdr:colOff>
          <xdr:row>0</xdr:row>
          <xdr:rowOff>158751</xdr:rowOff>
        </xdr:from>
        <xdr:to>
          <xdr:col>5</xdr:col>
          <xdr:colOff>630765</xdr:colOff>
          <xdr:row>3</xdr:row>
          <xdr:rowOff>106300</xdr:rowOff>
        </xdr:to>
        <xdr:pic>
          <xdr:nvPicPr>
            <xdr:cNvPr id="1062970" name="Picture 3045">
              <a:extLst>
                <a:ext uri="{FF2B5EF4-FFF2-40B4-BE49-F238E27FC236}">
                  <a16:creationId xmlns:a16="http://schemas.microsoft.com/office/drawing/2014/main" id="{00000000-0008-0000-0E00-00003A381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재방!$B$18:$E$19" spid="_x0000_s112554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5397499" y="158751"/>
              <a:ext cx="2408766" cy="82596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104775</xdr:rowOff>
        </xdr:from>
        <xdr:to>
          <xdr:col>15</xdr:col>
          <xdr:colOff>590550</xdr:colOff>
          <xdr:row>13</xdr:row>
          <xdr:rowOff>28575</xdr:rowOff>
        </xdr:to>
        <xdr:pic>
          <xdr:nvPicPr>
            <xdr:cNvPr id="1061912" name="Picture 1">
              <a:extLst>
                <a:ext uri="{FF2B5EF4-FFF2-40B4-BE49-F238E27FC236}">
                  <a16:creationId xmlns:a16="http://schemas.microsoft.com/office/drawing/2014/main" id="{00000000-0008-0000-1000-000018341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재방!$B$2:$M$3" spid="_x0000_s11420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3500" y="2657475"/>
              <a:ext cx="7267575" cy="762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266700</xdr:colOff>
          <xdr:row>5</xdr:row>
          <xdr:rowOff>19050</xdr:rowOff>
        </xdr:from>
        <xdr:to>
          <xdr:col>15</xdr:col>
          <xdr:colOff>581025</xdr:colOff>
          <xdr:row>7</xdr:row>
          <xdr:rowOff>19050</xdr:rowOff>
        </xdr:to>
        <xdr:pic>
          <xdr:nvPicPr>
            <xdr:cNvPr id="1061913" name="Picture 2">
              <a:extLst>
                <a:ext uri="{FF2B5EF4-FFF2-40B4-BE49-F238E27FC236}">
                  <a16:creationId xmlns:a16="http://schemas.microsoft.com/office/drawing/2014/main" id="{00000000-0008-0000-1000-000019341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5:$F$6" spid="_x0000_s114200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305425" y="1400175"/>
              <a:ext cx="3286125" cy="7524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171450</xdr:colOff>
          <xdr:row>1</xdr:row>
          <xdr:rowOff>171450</xdr:rowOff>
        </xdr:from>
        <xdr:to>
          <xdr:col>17</xdr:col>
          <xdr:colOff>180975</xdr:colOff>
          <xdr:row>4</xdr:row>
          <xdr:rowOff>190500</xdr:rowOff>
        </xdr:to>
        <xdr:pic>
          <xdr:nvPicPr>
            <xdr:cNvPr id="1057828" name="그림 1">
              <a:extLst>
                <a:ext uri="{FF2B5EF4-FFF2-40B4-BE49-F238E27FC236}">
                  <a16:creationId xmlns:a16="http://schemas.microsoft.com/office/drawing/2014/main" id="{00000000-0008-0000-1100-000024241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41:$Q$42" spid="_x0000_s113883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772650" y="1066800"/>
              <a:ext cx="1790700" cy="8286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workbookViewId="0">
      <selection sqref="A1:I1"/>
    </sheetView>
  </sheetViews>
  <sheetFormatPr defaultRowHeight="16.5"/>
  <cols>
    <col min="1" max="1" width="5.25" style="80" customWidth="1"/>
    <col min="9" max="9" width="17.625" customWidth="1"/>
  </cols>
  <sheetData>
    <row r="1" spans="1:9" s="49" customFormat="1" ht="40.5" customHeight="1">
      <c r="A1" s="468" t="s">
        <v>82</v>
      </c>
      <c r="B1" s="468"/>
      <c r="C1" s="468"/>
      <c r="D1" s="468"/>
      <c r="E1" s="468"/>
      <c r="F1" s="468"/>
      <c r="G1" s="468"/>
      <c r="H1" s="468"/>
      <c r="I1" s="468"/>
    </row>
    <row r="2" spans="1:9" s="49" customFormat="1" ht="44.25" customHeight="1">
      <c r="A2" s="81"/>
      <c r="G2" s="83" t="s">
        <v>109</v>
      </c>
    </row>
    <row r="3" spans="1:9" s="49" customFormat="1" ht="24" customHeight="1">
      <c r="A3" s="82" t="s">
        <v>81</v>
      </c>
      <c r="B3" s="83" t="s">
        <v>83</v>
      </c>
      <c r="C3" s="83"/>
      <c r="D3" s="83"/>
      <c r="E3" s="83"/>
      <c r="F3" s="83"/>
      <c r="G3" s="83"/>
      <c r="H3" s="83"/>
      <c r="I3" s="83"/>
    </row>
    <row r="4" spans="1:9" s="49" customFormat="1" ht="24" customHeight="1">
      <c r="A4" s="82" t="s">
        <v>86</v>
      </c>
      <c r="B4" s="83" t="s">
        <v>84</v>
      </c>
      <c r="C4" s="83"/>
      <c r="D4" s="83"/>
      <c r="E4" s="83"/>
      <c r="F4" s="83"/>
      <c r="G4" s="83"/>
      <c r="H4" s="83"/>
      <c r="I4" s="83"/>
    </row>
    <row r="5" spans="1:9" s="49" customFormat="1" ht="24" customHeight="1">
      <c r="A5" s="82" t="s">
        <v>87</v>
      </c>
      <c r="B5" s="83" t="s">
        <v>110</v>
      </c>
      <c r="C5" s="83"/>
      <c r="D5" s="83"/>
      <c r="E5" s="83"/>
      <c r="F5" s="83"/>
      <c r="G5" s="83"/>
      <c r="H5" s="83"/>
      <c r="I5" s="83"/>
    </row>
    <row r="6" spans="1:9" s="49" customFormat="1" ht="24" customHeight="1">
      <c r="A6" s="82"/>
      <c r="B6" s="83" t="s">
        <v>85</v>
      </c>
      <c r="C6" s="83"/>
      <c r="D6" s="83"/>
      <c r="E6" s="83"/>
      <c r="F6" s="83"/>
      <c r="G6" s="83"/>
      <c r="H6" s="83"/>
      <c r="I6" s="83"/>
    </row>
    <row r="7" spans="1:9" s="49" customFormat="1" ht="24" customHeight="1">
      <c r="A7" s="82" t="s">
        <v>88</v>
      </c>
      <c r="B7" s="83" t="s">
        <v>89</v>
      </c>
      <c r="C7" s="83"/>
      <c r="D7" s="83"/>
      <c r="E7" s="83"/>
      <c r="F7" s="83"/>
      <c r="G7" s="83"/>
      <c r="H7" s="83"/>
      <c r="I7" s="83"/>
    </row>
    <row r="8" spans="1:9" s="49" customFormat="1" ht="24" customHeight="1">
      <c r="A8" s="82" t="s">
        <v>92</v>
      </c>
      <c r="B8" s="83" t="s">
        <v>90</v>
      </c>
      <c r="C8" s="83"/>
      <c r="D8" s="83"/>
      <c r="E8" s="83"/>
      <c r="F8" s="83"/>
      <c r="G8" s="83"/>
      <c r="H8" s="83"/>
      <c r="I8" s="83"/>
    </row>
    <row r="9" spans="1:9" s="49" customFormat="1" ht="24" customHeight="1">
      <c r="A9" s="82"/>
      <c r="B9" s="83" t="s">
        <v>91</v>
      </c>
      <c r="C9" s="83"/>
      <c r="D9" s="83"/>
      <c r="E9" s="83"/>
      <c r="F9" s="83"/>
      <c r="G9" s="83"/>
      <c r="H9" s="83"/>
      <c r="I9" s="83"/>
    </row>
    <row r="10" spans="1:9" s="49" customFormat="1" ht="24" customHeight="1">
      <c r="A10" s="82" t="s">
        <v>93</v>
      </c>
      <c r="B10" s="83" t="s">
        <v>94</v>
      </c>
      <c r="C10" s="83"/>
      <c r="D10" s="83"/>
      <c r="E10" s="83"/>
      <c r="F10" s="83"/>
      <c r="G10" s="83"/>
      <c r="H10" s="83"/>
      <c r="I10" s="83"/>
    </row>
    <row r="11" spans="1:9" s="49" customFormat="1" ht="24" customHeight="1">
      <c r="A11" s="82" t="s">
        <v>97</v>
      </c>
      <c r="B11" s="83" t="s">
        <v>95</v>
      </c>
      <c r="C11" s="83"/>
      <c r="D11" s="83"/>
      <c r="E11" s="83"/>
      <c r="F11" s="83"/>
      <c r="G11" s="83"/>
      <c r="H11" s="83"/>
      <c r="I11" s="83"/>
    </row>
    <row r="12" spans="1:9" s="49" customFormat="1" ht="24" customHeight="1">
      <c r="A12" s="82" t="s">
        <v>98</v>
      </c>
      <c r="B12" s="83" t="s">
        <v>96</v>
      </c>
      <c r="C12" s="83"/>
      <c r="D12" s="83"/>
      <c r="E12" s="83"/>
      <c r="F12" s="83"/>
      <c r="G12" s="83"/>
      <c r="H12" s="83"/>
      <c r="I12" s="83"/>
    </row>
    <row r="13" spans="1:9" s="49" customFormat="1" ht="24" customHeight="1">
      <c r="A13" s="82" t="s">
        <v>99</v>
      </c>
      <c r="B13" s="83" t="s">
        <v>111</v>
      </c>
      <c r="C13" s="83"/>
      <c r="D13" s="83"/>
      <c r="E13" s="83"/>
      <c r="F13" s="83"/>
      <c r="G13" s="83"/>
      <c r="H13" s="83"/>
      <c r="I13" s="83"/>
    </row>
    <row r="14" spans="1:9" s="49" customFormat="1" ht="24" customHeight="1">
      <c r="A14" s="82" t="s">
        <v>100</v>
      </c>
      <c r="B14" s="83" t="s">
        <v>112</v>
      </c>
      <c r="C14" s="83"/>
      <c r="D14" s="83"/>
      <c r="E14" s="83"/>
      <c r="F14" s="83"/>
      <c r="G14" s="83"/>
      <c r="H14" s="83"/>
      <c r="I14" s="83"/>
    </row>
    <row r="15" spans="1:9" s="49" customFormat="1" ht="24" customHeight="1">
      <c r="A15" s="82"/>
      <c r="B15" s="83" t="s">
        <v>101</v>
      </c>
      <c r="C15" s="83"/>
      <c r="D15" s="83"/>
      <c r="E15" s="83"/>
      <c r="F15" s="83"/>
      <c r="G15" s="83"/>
      <c r="H15" s="83"/>
      <c r="I15" s="83"/>
    </row>
    <row r="16" spans="1:9" s="49" customFormat="1" ht="24" customHeight="1">
      <c r="A16" s="82" t="s">
        <v>102</v>
      </c>
      <c r="B16" s="83" t="s">
        <v>113</v>
      </c>
      <c r="C16" s="83"/>
      <c r="D16" s="83"/>
      <c r="E16" s="83"/>
      <c r="F16" s="83"/>
      <c r="G16" s="83"/>
      <c r="H16" s="83"/>
      <c r="I16" s="83"/>
    </row>
    <row r="17" spans="1:9" s="49" customFormat="1" ht="24" customHeight="1">
      <c r="A17" s="82" t="s">
        <v>103</v>
      </c>
      <c r="B17" s="83" t="s">
        <v>114</v>
      </c>
      <c r="C17" s="83"/>
      <c r="D17" s="83"/>
      <c r="E17" s="83"/>
      <c r="F17" s="83"/>
      <c r="G17" s="83"/>
      <c r="H17" s="83"/>
      <c r="I17" s="83"/>
    </row>
    <row r="18" spans="1:9" s="49" customFormat="1" ht="24" customHeight="1">
      <c r="A18" s="82" t="s">
        <v>104</v>
      </c>
      <c r="B18" s="84" t="s">
        <v>115</v>
      </c>
      <c r="C18" s="83"/>
      <c r="D18" s="83"/>
      <c r="E18" s="83"/>
      <c r="F18" s="83"/>
      <c r="G18" s="83"/>
      <c r="H18" s="83"/>
      <c r="I18" s="83"/>
    </row>
    <row r="19" spans="1:9" s="49" customFormat="1" ht="24" customHeight="1">
      <c r="A19" s="82" t="s">
        <v>105</v>
      </c>
      <c r="B19" s="83" t="s">
        <v>116</v>
      </c>
      <c r="C19" s="83"/>
      <c r="D19" s="83"/>
      <c r="E19" s="83"/>
      <c r="F19" s="83"/>
      <c r="G19" s="83"/>
      <c r="H19" s="83"/>
      <c r="I19" s="83"/>
    </row>
    <row r="20" spans="1:9" s="49" customFormat="1" ht="24" customHeight="1">
      <c r="A20" s="82"/>
      <c r="B20" s="83" t="s">
        <v>117</v>
      </c>
      <c r="C20" s="83"/>
      <c r="D20" s="83"/>
      <c r="E20" s="83"/>
      <c r="F20" s="83"/>
      <c r="G20" s="83"/>
      <c r="H20" s="83"/>
      <c r="I20" s="83"/>
    </row>
    <row r="21" spans="1:9" s="49" customFormat="1" ht="24" customHeight="1">
      <c r="A21" s="82" t="s">
        <v>106</v>
      </c>
      <c r="B21" s="83" t="s">
        <v>118</v>
      </c>
      <c r="C21" s="83"/>
      <c r="D21" s="83"/>
      <c r="E21" s="83"/>
      <c r="F21" s="83"/>
      <c r="G21" s="83"/>
      <c r="H21" s="83"/>
      <c r="I21" s="83"/>
    </row>
    <row r="22" spans="1:9" s="49" customFormat="1" ht="24" customHeight="1">
      <c r="A22" s="82" t="s">
        <v>107</v>
      </c>
      <c r="B22" s="83" t="s">
        <v>119</v>
      </c>
      <c r="C22" s="83"/>
      <c r="D22" s="83"/>
      <c r="E22" s="83"/>
      <c r="F22" s="83"/>
      <c r="G22" s="83"/>
      <c r="H22" s="83"/>
      <c r="I22" s="83"/>
    </row>
    <row r="23" spans="1:9" s="49" customFormat="1" ht="24" customHeight="1">
      <c r="A23" s="82" t="s">
        <v>108</v>
      </c>
      <c r="B23" s="83" t="s">
        <v>120</v>
      </c>
      <c r="C23" s="83"/>
      <c r="D23" s="83"/>
      <c r="E23" s="83"/>
      <c r="F23" s="83"/>
      <c r="G23" s="83"/>
      <c r="H23" s="83"/>
      <c r="I23" s="83"/>
    </row>
  </sheetData>
  <mergeCells count="1">
    <mergeCell ref="A1:I1"/>
  </mergeCells>
  <phoneticPr fontId="56" type="noConversion"/>
  <pageMargins left="0.42" right="0.53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B780-B12F-4F1B-AC22-9738E23A779E}">
  <sheetPr>
    <tabColor rgb="FFC00000"/>
    <pageSetUpPr fitToPage="1"/>
  </sheetPr>
  <dimension ref="A2:M24"/>
  <sheetViews>
    <sheetView workbookViewId="0"/>
  </sheetViews>
  <sheetFormatPr defaultRowHeight="13.5"/>
  <cols>
    <col min="1" max="1" width="5.875" style="426" customWidth="1"/>
    <col min="2" max="2" width="18" style="426" customWidth="1"/>
    <col min="3" max="6" width="11.875" style="426" customWidth="1"/>
    <col min="7" max="8" width="7.75" style="426" customWidth="1"/>
    <col min="9" max="9" width="10.875" style="452" customWidth="1"/>
    <col min="10" max="10" width="9" style="459"/>
    <col min="11" max="11" width="15" style="460" bestFit="1" customWidth="1"/>
    <col min="12" max="12" width="9" style="459"/>
    <col min="13" max="13" width="13.875" style="459" bestFit="1" customWidth="1"/>
    <col min="14" max="16384" width="9" style="459"/>
  </cols>
  <sheetData>
    <row r="2" spans="1:13" ht="25.5">
      <c r="A2" s="484" t="s">
        <v>489</v>
      </c>
      <c r="B2" s="484"/>
      <c r="C2" s="484"/>
      <c r="D2" s="484"/>
      <c r="E2" s="484"/>
      <c r="F2" s="484"/>
      <c r="G2" s="484"/>
      <c r="H2" s="484"/>
      <c r="I2" s="484"/>
    </row>
    <row r="3" spans="1:13" ht="19.5" customHeight="1" thickBot="1">
      <c r="H3" s="485">
        <v>45670</v>
      </c>
      <c r="I3" s="485"/>
    </row>
    <row r="4" spans="1:13" ht="27.75" customHeight="1" thickBot="1">
      <c r="A4" s="486" t="s">
        <v>490</v>
      </c>
      <c r="B4" s="487"/>
      <c r="C4" s="456" t="s">
        <v>491</v>
      </c>
      <c r="D4" s="456" t="s">
        <v>492</v>
      </c>
      <c r="E4" s="456" t="s">
        <v>493</v>
      </c>
      <c r="F4" s="457" t="s">
        <v>494</v>
      </c>
      <c r="G4" s="457" t="s">
        <v>495</v>
      </c>
      <c r="H4" s="457" t="s">
        <v>496</v>
      </c>
      <c r="I4" s="458" t="s">
        <v>401</v>
      </c>
    </row>
    <row r="5" spans="1:13" ht="21.95" customHeight="1">
      <c r="A5" s="488" t="s">
        <v>497</v>
      </c>
      <c r="B5" s="427" t="s">
        <v>473</v>
      </c>
      <c r="C5" s="428">
        <v>80359734</v>
      </c>
      <c r="D5" s="428">
        <f>공사청구!H13</f>
        <v>1572500</v>
      </c>
      <c r="E5" s="428">
        <f>공사청구!X13</f>
        <v>2510000</v>
      </c>
      <c r="F5" s="428"/>
      <c r="G5" s="429"/>
      <c r="H5" s="429"/>
      <c r="I5" s="430"/>
    </row>
    <row r="6" spans="1:13" ht="21.95" customHeight="1">
      <c r="A6" s="489"/>
      <c r="B6" s="431" t="s">
        <v>407</v>
      </c>
      <c r="C6" s="432">
        <v>69914671</v>
      </c>
      <c r="D6" s="432">
        <f>공사청구!H14</f>
        <v>2206070</v>
      </c>
      <c r="E6" s="432">
        <f>공사청구!X14</f>
        <v>0</v>
      </c>
      <c r="F6" s="432"/>
      <c r="G6" s="433"/>
      <c r="H6" s="433"/>
      <c r="I6" s="434"/>
    </row>
    <row r="7" spans="1:13" ht="21.95" customHeight="1">
      <c r="A7" s="489"/>
      <c r="B7" s="431" t="s">
        <v>474</v>
      </c>
      <c r="C7" s="432">
        <v>6219563</v>
      </c>
      <c r="D7" s="432">
        <f>공사청구!H15</f>
        <v>12049769</v>
      </c>
      <c r="E7" s="432">
        <f>공사청구!X15</f>
        <v>0</v>
      </c>
      <c r="F7" s="432"/>
      <c r="G7" s="433"/>
      <c r="H7" s="433"/>
      <c r="I7" s="434"/>
    </row>
    <row r="8" spans="1:13" ht="21.95" customHeight="1">
      <c r="A8" s="489"/>
      <c r="B8" s="431" t="s">
        <v>475</v>
      </c>
      <c r="C8" s="432"/>
      <c r="D8" s="432">
        <f>공사청구!H16</f>
        <v>0</v>
      </c>
      <c r="E8" s="432">
        <f>공사청구!X16</f>
        <v>0</v>
      </c>
      <c r="F8" s="432"/>
      <c r="G8" s="433"/>
      <c r="H8" s="433"/>
      <c r="I8" s="434"/>
    </row>
    <row r="9" spans="1:13" ht="21.95" customHeight="1">
      <c r="A9" s="490"/>
      <c r="B9" s="431" t="s">
        <v>405</v>
      </c>
      <c r="C9" s="432"/>
      <c r="D9" s="432">
        <f>공사청구!H17</f>
        <v>90855500</v>
      </c>
      <c r="E9" s="432">
        <f>공사청구!X17</f>
        <v>101505000</v>
      </c>
      <c r="F9" s="432"/>
      <c r="G9" s="433"/>
      <c r="H9" s="433"/>
      <c r="I9" s="434"/>
    </row>
    <row r="10" spans="1:13" ht="21.95" customHeight="1">
      <c r="A10" s="473" t="s">
        <v>498</v>
      </c>
      <c r="B10" s="474"/>
      <c r="C10" s="453">
        <f>SUM(C5:C9)</f>
        <v>156493968</v>
      </c>
      <c r="D10" s="453">
        <f t="shared" ref="D10:E10" si="0">SUM(D5:D9)</f>
        <v>106683839</v>
      </c>
      <c r="E10" s="453">
        <f t="shared" si="0"/>
        <v>104015000</v>
      </c>
      <c r="F10" s="453">
        <f>C10-E10</f>
        <v>52478968</v>
      </c>
      <c r="G10" s="454">
        <f>E10/C10</f>
        <v>0.66465820586771751</v>
      </c>
      <c r="H10" s="454">
        <f>E10/D10</f>
        <v>0.97498366177092666</v>
      </c>
      <c r="I10" s="455"/>
    </row>
    <row r="11" spans="1:13" ht="21.95" customHeight="1">
      <c r="A11" s="483" t="s">
        <v>499</v>
      </c>
      <c r="B11" s="435" t="s">
        <v>500</v>
      </c>
      <c r="C11" s="436">
        <v>8272349</v>
      </c>
      <c r="D11" s="436">
        <f>공사청구!H19</f>
        <v>1000000</v>
      </c>
      <c r="E11" s="436">
        <f>공사청구!X19</f>
        <v>1190500</v>
      </c>
      <c r="F11" s="436"/>
      <c r="G11" s="437"/>
      <c r="H11" s="437"/>
      <c r="I11" s="438" t="s">
        <v>501</v>
      </c>
      <c r="M11" s="460"/>
    </row>
    <row r="12" spans="1:13" ht="21.95" customHeight="1">
      <c r="A12" s="478"/>
      <c r="B12" s="431" t="s">
        <v>502</v>
      </c>
      <c r="C12" s="432">
        <v>8809248</v>
      </c>
      <c r="D12" s="432">
        <f>공사청구!H20</f>
        <v>10000000</v>
      </c>
      <c r="E12" s="432">
        <f>공사청구!X20</f>
        <v>10000000</v>
      </c>
      <c r="F12" s="432"/>
      <c r="G12" s="433"/>
      <c r="H12" s="433"/>
      <c r="I12" s="434" t="s">
        <v>503</v>
      </c>
      <c r="M12" s="460"/>
    </row>
    <row r="13" spans="1:13" ht="21.95" customHeight="1">
      <c r="A13" s="478"/>
      <c r="B13" s="431" t="s">
        <v>504</v>
      </c>
      <c r="C13" s="432">
        <v>5804361</v>
      </c>
      <c r="D13" s="432">
        <f>공사청구!H21</f>
        <v>5804361</v>
      </c>
      <c r="E13" s="432">
        <f>공사청구!X21</f>
        <v>5045000</v>
      </c>
      <c r="F13" s="432"/>
      <c r="G13" s="433"/>
      <c r="H13" s="433"/>
      <c r="I13" s="434"/>
      <c r="M13" s="460"/>
    </row>
    <row r="14" spans="1:13" ht="21.95" customHeight="1">
      <c r="A14" s="473" t="s">
        <v>505</v>
      </c>
      <c r="B14" s="474"/>
      <c r="C14" s="453">
        <f>SUM(C11:C13)</f>
        <v>22885958</v>
      </c>
      <c r="D14" s="453">
        <f>SUM(D11:D13)</f>
        <v>16804361</v>
      </c>
      <c r="E14" s="453">
        <f>SUM(E11:E13)</f>
        <v>16235500</v>
      </c>
      <c r="F14" s="453">
        <f>C14-E14</f>
        <v>6650458</v>
      </c>
      <c r="G14" s="454">
        <f>E14/C14</f>
        <v>0.70940879992875983</v>
      </c>
      <c r="H14" s="454">
        <f>E14/D14</f>
        <v>0.96614801360194535</v>
      </c>
      <c r="I14" s="455"/>
      <c r="M14" s="460"/>
    </row>
    <row r="15" spans="1:13" ht="21.95" customHeight="1" thickBot="1">
      <c r="A15" s="475" t="s">
        <v>506</v>
      </c>
      <c r="B15" s="476"/>
      <c r="C15" s="439">
        <f>C10+C14</f>
        <v>179379926</v>
      </c>
      <c r="D15" s="439">
        <f>D10+D14</f>
        <v>123488200</v>
      </c>
      <c r="E15" s="439">
        <f>E10+E14</f>
        <v>120250500</v>
      </c>
      <c r="F15" s="439">
        <f>C15-E15</f>
        <v>59129426</v>
      </c>
      <c r="G15" s="440">
        <f>E15/C15</f>
        <v>0.67036765306726687</v>
      </c>
      <c r="H15" s="440">
        <f>E15/D15</f>
        <v>0.97378130056151113</v>
      </c>
      <c r="I15" s="441"/>
      <c r="M15" s="460"/>
    </row>
    <row r="16" spans="1:13" ht="34.5" thickTop="1">
      <c r="A16" s="477" t="s">
        <v>507</v>
      </c>
      <c r="B16" s="442" t="s">
        <v>508</v>
      </c>
      <c r="C16" s="443">
        <v>283253</v>
      </c>
      <c r="D16" s="443">
        <f>공사청구!H24</f>
        <v>283254</v>
      </c>
      <c r="E16" s="443">
        <f>공사청구!X24</f>
        <v>56790</v>
      </c>
      <c r="F16" s="443"/>
      <c r="G16" s="444"/>
      <c r="H16" s="444"/>
      <c r="I16" s="445" t="s">
        <v>509</v>
      </c>
      <c r="M16" s="460"/>
    </row>
    <row r="17" spans="1:13" ht="21.95" customHeight="1">
      <c r="A17" s="478"/>
      <c r="B17" s="431" t="s">
        <v>510</v>
      </c>
      <c r="C17" s="432"/>
      <c r="D17" s="432">
        <f>공사청구!H25</f>
        <v>0</v>
      </c>
      <c r="E17" s="432">
        <f>공사청구!X25</f>
        <v>150000</v>
      </c>
      <c r="F17" s="432"/>
      <c r="G17" s="433"/>
      <c r="H17" s="433"/>
      <c r="I17" s="434"/>
      <c r="M17" s="460"/>
    </row>
    <row r="18" spans="1:13" ht="21.95" customHeight="1">
      <c r="A18" s="478"/>
      <c r="B18" s="431" t="s">
        <v>511</v>
      </c>
      <c r="C18" s="432"/>
      <c r="D18" s="432">
        <f>공사청구!H26</f>
        <v>0</v>
      </c>
      <c r="E18" s="432">
        <f>공사청구!X26</f>
        <v>0</v>
      </c>
      <c r="F18" s="432"/>
      <c r="G18" s="433"/>
      <c r="H18" s="433"/>
      <c r="I18" s="434"/>
      <c r="M18" s="461"/>
    </row>
    <row r="19" spans="1:13" ht="21.95" customHeight="1">
      <c r="A19" s="478"/>
      <c r="B19" s="431"/>
      <c r="C19" s="432"/>
      <c r="D19" s="432">
        <f>공사청구!H27</f>
        <v>0</v>
      </c>
      <c r="E19" s="432">
        <f>공사청구!X27</f>
        <v>0</v>
      </c>
      <c r="F19" s="432"/>
      <c r="G19" s="433"/>
      <c r="H19" s="433"/>
      <c r="I19" s="434"/>
    </row>
    <row r="20" spans="1:13" ht="21.95" customHeight="1">
      <c r="A20" s="473" t="s">
        <v>512</v>
      </c>
      <c r="B20" s="474"/>
      <c r="C20" s="453">
        <f>SUM(C16:C19)</f>
        <v>283253</v>
      </c>
      <c r="D20" s="453">
        <f>SUM(D16:D19)</f>
        <v>283254</v>
      </c>
      <c r="E20" s="453">
        <f>SUM(E16:E19)</f>
        <v>206790</v>
      </c>
      <c r="F20" s="453">
        <f>C20-E20</f>
        <v>76463</v>
      </c>
      <c r="G20" s="454">
        <f>E20/C20</f>
        <v>0.73005405061905793</v>
      </c>
      <c r="H20" s="454">
        <f>E20/D20</f>
        <v>0.73005147323603548</v>
      </c>
      <c r="I20" s="455"/>
    </row>
    <row r="21" spans="1:13" ht="21.95" customHeight="1" thickBot="1">
      <c r="A21" s="479" t="s">
        <v>513</v>
      </c>
      <c r="B21" s="480"/>
      <c r="C21" s="446">
        <v>114488</v>
      </c>
      <c r="D21" s="446">
        <f>공사청구!H29</f>
        <v>0</v>
      </c>
      <c r="E21" s="446">
        <f>공사청구!X29</f>
        <v>0</v>
      </c>
      <c r="F21" s="446">
        <f>C21-E21</f>
        <v>114488</v>
      </c>
      <c r="G21" s="447"/>
      <c r="H21" s="447"/>
      <c r="I21" s="448" t="s">
        <v>514</v>
      </c>
    </row>
    <row r="22" spans="1:13" ht="21.95" customHeight="1" thickTop="1" thickBot="1">
      <c r="A22" s="481" t="s">
        <v>515</v>
      </c>
      <c r="B22" s="482"/>
      <c r="C22" s="462">
        <f>C15+C20+C21</f>
        <v>179777667</v>
      </c>
      <c r="D22" s="462">
        <f>D15+D20+D21</f>
        <v>123771454</v>
      </c>
      <c r="E22" s="462">
        <f>E15+E20+E21</f>
        <v>120457290</v>
      </c>
      <c r="F22" s="462">
        <f>C22-E22</f>
        <v>59320377</v>
      </c>
      <c r="G22" s="463">
        <f>E22/C22</f>
        <v>0.67003478246271819</v>
      </c>
      <c r="H22" s="463">
        <f>E22/D22</f>
        <v>0.97322351888990499</v>
      </c>
      <c r="I22" s="464"/>
    </row>
    <row r="23" spans="1:13" ht="21.95" customHeight="1" thickTop="1" thickBot="1">
      <c r="A23" s="469" t="s">
        <v>518</v>
      </c>
      <c r="B23" s="470"/>
      <c r="C23" s="449">
        <f>16020092-9643486</f>
        <v>6376606</v>
      </c>
      <c r="D23" s="449">
        <f>공사청구!H31</f>
        <v>11151316</v>
      </c>
      <c r="E23" s="449">
        <f>공사청구!X31</f>
        <v>11151316</v>
      </c>
      <c r="F23" s="449">
        <f>C23-E23</f>
        <v>-4774710</v>
      </c>
      <c r="G23" s="450"/>
      <c r="H23" s="450"/>
      <c r="I23" s="451"/>
    </row>
    <row r="24" spans="1:13" ht="21.95" customHeight="1" thickTop="1" thickBot="1">
      <c r="A24" s="471" t="s">
        <v>516</v>
      </c>
      <c r="B24" s="472"/>
      <c r="C24" s="465">
        <f>C22+C23</f>
        <v>186154273</v>
      </c>
      <c r="D24" s="465">
        <f>D22+D23-1</f>
        <v>134922769</v>
      </c>
      <c r="E24" s="465">
        <f>E22+E23-1</f>
        <v>131608605</v>
      </c>
      <c r="F24" s="465">
        <f>F22+F23</f>
        <v>54545667</v>
      </c>
      <c r="G24" s="466">
        <f>E24/C24</f>
        <v>0.70698675286384638</v>
      </c>
      <c r="H24" s="466">
        <f>E24/D24</f>
        <v>0.97543658476205752</v>
      </c>
      <c r="I24" s="467"/>
    </row>
  </sheetData>
  <mergeCells count="14">
    <mergeCell ref="A11:A13"/>
    <mergeCell ref="A2:I2"/>
    <mergeCell ref="H3:I3"/>
    <mergeCell ref="A4:B4"/>
    <mergeCell ref="A5:A9"/>
    <mergeCell ref="A10:B10"/>
    <mergeCell ref="A23:B23"/>
    <mergeCell ref="A24:B24"/>
    <mergeCell ref="A14:B14"/>
    <mergeCell ref="A15:B15"/>
    <mergeCell ref="A16:A19"/>
    <mergeCell ref="A20:B20"/>
    <mergeCell ref="A21:B21"/>
    <mergeCell ref="A22:B22"/>
  </mergeCells>
  <phoneticPr fontId="142" type="noConversion"/>
  <pageMargins left="0.70866141732283472" right="0.70866141732283472" top="0.74803149606299213" bottom="0.74803149606299213" header="0.31496062992125984" footer="0.31496062992125984"/>
  <pageSetup paperSize="9" scale="82" fitToHeight="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2060"/>
  </sheetPr>
  <dimension ref="B1:BY39"/>
  <sheetViews>
    <sheetView tabSelected="1" topLeftCell="A4" workbookViewId="0">
      <selection activeCell="BQ25" sqref="BQ25"/>
    </sheetView>
  </sheetViews>
  <sheetFormatPr defaultColWidth="2.875" defaultRowHeight="15.75" customHeight="1"/>
  <cols>
    <col min="1" max="1" width="2.875" style="27"/>
    <col min="2" max="17" width="2.375" style="27" customWidth="1"/>
    <col min="18" max="18" width="3.625" style="27" customWidth="1"/>
    <col min="19" max="23" width="2.5" style="27" customWidth="1"/>
    <col min="24" max="24" width="2.875" style="27" customWidth="1"/>
    <col min="25" max="28" width="2.375" style="27" customWidth="1"/>
    <col min="29" max="29" width="3" style="27" customWidth="1"/>
    <col min="30" max="30" width="2.375" style="27" customWidth="1"/>
    <col min="31" max="31" width="1.125" style="27" customWidth="1"/>
    <col min="32" max="47" width="2.125" style="27" customWidth="1"/>
    <col min="48" max="48" width="1.375" style="27" customWidth="1"/>
    <col min="49" max="49" width="2.875" style="27" customWidth="1"/>
    <col min="50" max="67" width="2.75" style="27" customWidth="1"/>
    <col min="68" max="68" width="2.875" style="27" customWidth="1"/>
    <col min="69" max="69" width="7.25" style="27" customWidth="1"/>
    <col min="70" max="70" width="2.125" style="27" customWidth="1"/>
    <col min="71" max="71" width="13" style="27" bestFit="1" customWidth="1"/>
    <col min="72" max="75" width="2.125" style="27" customWidth="1"/>
    <col min="76" max="76" width="13.375" style="27" customWidth="1"/>
    <col min="77" max="79" width="11" style="27" customWidth="1"/>
    <col min="80" max="16384" width="2.875" style="27"/>
  </cols>
  <sheetData>
    <row r="1" spans="2:76" ht="15" customHeight="1">
      <c r="B1" s="718" t="s">
        <v>409</v>
      </c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  <c r="P1" s="718"/>
      <c r="Q1" s="718"/>
      <c r="R1" s="718"/>
      <c r="S1" s="718"/>
      <c r="T1" s="718"/>
      <c r="U1" s="718"/>
      <c r="V1" s="718"/>
      <c r="W1" s="718"/>
      <c r="X1" s="718"/>
      <c r="Y1" s="718"/>
      <c r="Z1" s="718"/>
      <c r="AA1" s="718"/>
      <c r="AB1" s="718"/>
      <c r="AC1" s="718"/>
      <c r="AD1" s="718"/>
      <c r="AE1" s="28"/>
      <c r="AF1" s="717"/>
      <c r="AG1" s="717"/>
      <c r="AH1" s="717"/>
      <c r="AI1" s="717"/>
      <c r="AJ1" s="717"/>
      <c r="AK1" s="717"/>
    </row>
    <row r="2" spans="2:76" ht="15" customHeight="1"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  <c r="Y2" s="718"/>
      <c r="Z2" s="718"/>
      <c r="AA2" s="718"/>
      <c r="AB2" s="718"/>
      <c r="AC2" s="718"/>
      <c r="AD2" s="718"/>
      <c r="AE2" s="28"/>
      <c r="AF2" s="717"/>
      <c r="AG2" s="717"/>
      <c r="AH2" s="717"/>
      <c r="AI2" s="717"/>
      <c r="AJ2" s="717"/>
      <c r="AK2" s="717"/>
      <c r="AN2" s="228"/>
      <c r="AO2" s="228"/>
      <c r="AP2" s="28"/>
      <c r="AQ2" s="28"/>
      <c r="AR2" s="28"/>
      <c r="AS2" s="28"/>
      <c r="AT2" s="28"/>
      <c r="AU2" s="28"/>
      <c r="AV2" s="28"/>
      <c r="AW2" s="587" t="s">
        <v>351</v>
      </c>
      <c r="AX2" s="491" t="s">
        <v>354</v>
      </c>
      <c r="AY2" s="491"/>
      <c r="AZ2" s="491"/>
      <c r="BA2" s="491" t="s">
        <v>355</v>
      </c>
      <c r="BB2" s="491"/>
      <c r="BC2" s="491"/>
      <c r="BD2" s="491" t="s">
        <v>386</v>
      </c>
      <c r="BE2" s="491"/>
      <c r="BF2" s="491"/>
      <c r="BG2" s="491" t="s">
        <v>378</v>
      </c>
      <c r="BH2" s="491"/>
      <c r="BI2" s="491"/>
      <c r="BJ2" s="491"/>
      <c r="BK2" s="491" t="s">
        <v>379</v>
      </c>
      <c r="BL2" s="491"/>
      <c r="BM2" s="491"/>
      <c r="BN2" s="491"/>
      <c r="BO2" s="491"/>
    </row>
    <row r="3" spans="2:76" ht="15" customHeight="1">
      <c r="Q3"/>
      <c r="R3"/>
      <c r="S3"/>
      <c r="T3" s="710"/>
      <c r="U3" s="710"/>
      <c r="V3" s="710"/>
      <c r="W3" s="524" t="s">
        <v>346</v>
      </c>
      <c r="X3" s="525"/>
      <c r="Y3" s="525"/>
      <c r="Z3" s="525"/>
      <c r="AA3" s="525"/>
      <c r="AB3" s="525"/>
      <c r="AC3" s="491" t="s">
        <v>347</v>
      </c>
      <c r="AD3" s="491"/>
      <c r="AE3" s="491"/>
      <c r="AF3" s="491"/>
      <c r="AG3" s="491"/>
      <c r="AH3" s="491"/>
      <c r="AI3" s="491"/>
      <c r="AJ3" s="524" t="s">
        <v>348</v>
      </c>
      <c r="AK3" s="525"/>
      <c r="AL3" s="526"/>
      <c r="AM3" s="524" t="s">
        <v>349</v>
      </c>
      <c r="AN3" s="525"/>
      <c r="AO3" s="525"/>
      <c r="AP3" s="525"/>
      <c r="AQ3" s="525"/>
      <c r="AR3" s="526"/>
      <c r="AS3" s="491" t="s">
        <v>350</v>
      </c>
      <c r="AT3" s="491"/>
      <c r="AU3" s="491"/>
      <c r="AV3" s="229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</row>
    <row r="4" spans="2:76" ht="15" customHeight="1">
      <c r="B4" s="723" t="s">
        <v>410</v>
      </c>
      <c r="C4" s="723"/>
      <c r="D4" s="723"/>
      <c r="E4" s="723"/>
      <c r="F4" s="723"/>
      <c r="G4" s="723"/>
      <c r="H4" s="723"/>
      <c r="I4" s="723"/>
      <c r="J4" s="723"/>
      <c r="K4" s="723"/>
      <c r="L4" s="723"/>
      <c r="M4" s="723"/>
      <c r="N4" s="723"/>
      <c r="O4" s="723"/>
      <c r="P4" s="723"/>
      <c r="Q4"/>
      <c r="R4"/>
      <c r="S4"/>
      <c r="T4" s="740" t="s">
        <v>338</v>
      </c>
      <c r="U4" s="740"/>
      <c r="V4" s="740"/>
      <c r="W4" s="707">
        <v>195797760</v>
      </c>
      <c r="X4" s="708"/>
      <c r="Y4" s="708"/>
      <c r="Z4" s="708"/>
      <c r="AA4" s="708"/>
      <c r="AB4" s="708"/>
      <c r="AC4" s="720">
        <v>139906034</v>
      </c>
      <c r="AD4" s="720"/>
      <c r="AE4" s="720"/>
      <c r="AF4" s="720"/>
      <c r="AG4" s="720"/>
      <c r="AH4" s="720"/>
      <c r="AI4" s="720"/>
      <c r="AJ4" s="711">
        <f>AC4/W4</f>
        <v>0.71454358824125463</v>
      </c>
      <c r="AK4" s="712"/>
      <c r="AL4" s="713"/>
      <c r="AM4" s="714">
        <f>BD15</f>
        <v>131608606</v>
      </c>
      <c r="AN4" s="715"/>
      <c r="AO4" s="715"/>
      <c r="AP4" s="715"/>
      <c r="AQ4" s="715"/>
      <c r="AR4" s="716"/>
      <c r="AS4" s="706">
        <f>AM4/W4</f>
        <v>0.6721660452090974</v>
      </c>
      <c r="AT4" s="706"/>
      <c r="AU4" s="706"/>
      <c r="AV4" s="230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</row>
    <row r="5" spans="2:76" ht="15" customHeight="1">
      <c r="B5" s="723"/>
      <c r="C5" s="723"/>
      <c r="D5" s="723"/>
      <c r="E5" s="723"/>
      <c r="F5" s="723"/>
      <c r="G5" s="723"/>
      <c r="H5" s="723"/>
      <c r="I5" s="723"/>
      <c r="J5" s="723"/>
      <c r="K5" s="723"/>
      <c r="L5" s="723"/>
      <c r="M5" s="723"/>
      <c r="N5" s="723"/>
      <c r="O5" s="723"/>
      <c r="P5" s="723"/>
      <c r="Q5"/>
      <c r="R5"/>
      <c r="S5"/>
      <c r="T5" s="741" t="s">
        <v>339</v>
      </c>
      <c r="U5" s="741"/>
      <c r="V5" s="741"/>
      <c r="W5" s="721">
        <v>186154273</v>
      </c>
      <c r="X5" s="722"/>
      <c r="Y5" s="722"/>
      <c r="Z5" s="722"/>
      <c r="AA5" s="722"/>
      <c r="AB5" s="722"/>
      <c r="AC5" s="573">
        <v>130262547</v>
      </c>
      <c r="AD5" s="573"/>
      <c r="AE5" s="573"/>
      <c r="AF5" s="573"/>
      <c r="AG5" s="573"/>
      <c r="AH5" s="573"/>
      <c r="AI5" s="573"/>
      <c r="AJ5" s="711">
        <f>AC5/W5</f>
        <v>0.69975587936141548</v>
      </c>
      <c r="AK5" s="712"/>
      <c r="AL5" s="713"/>
      <c r="AM5" s="714">
        <v>126948383</v>
      </c>
      <c r="AN5" s="715"/>
      <c r="AO5" s="715"/>
      <c r="AP5" s="715"/>
      <c r="AQ5" s="715"/>
      <c r="AR5" s="716"/>
      <c r="AS5" s="706">
        <f>AM5/W5</f>
        <v>0.68195255985340719</v>
      </c>
      <c r="AT5" s="706"/>
      <c r="AU5" s="706"/>
      <c r="AV5" s="230"/>
      <c r="AW5" s="491"/>
      <c r="AX5" s="491"/>
      <c r="AY5" s="491"/>
      <c r="AZ5" s="491"/>
      <c r="BA5" s="491"/>
      <c r="BB5" s="491"/>
      <c r="BC5" s="491"/>
      <c r="BD5" s="491"/>
      <c r="BE5" s="491"/>
      <c r="BF5" s="491"/>
      <c r="BG5" s="491"/>
      <c r="BH5" s="491"/>
      <c r="BI5" s="491"/>
      <c r="BJ5" s="491"/>
      <c r="BK5" s="491"/>
      <c r="BL5" s="491"/>
      <c r="BM5" s="491"/>
      <c r="BN5" s="491"/>
      <c r="BO5" s="491"/>
    </row>
    <row r="6" spans="2:76" ht="15" customHeight="1">
      <c r="B6" s="29" t="s">
        <v>411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730"/>
      <c r="R6" s="730"/>
      <c r="S6" s="730"/>
      <c r="T6" s="731"/>
      <c r="U6" s="731"/>
      <c r="V6" s="731"/>
      <c r="W6" s="728"/>
      <c r="X6" s="728"/>
      <c r="Y6" s="728"/>
      <c r="Z6" s="728"/>
      <c r="AA6" s="728"/>
      <c r="AB6" s="728"/>
      <c r="AC6" s="709"/>
      <c r="AD6" s="709"/>
      <c r="AE6" s="709"/>
      <c r="AF6" s="709"/>
      <c r="AG6" s="709"/>
      <c r="AH6" s="709"/>
      <c r="AI6" s="709"/>
      <c r="AJ6" s="703"/>
      <c r="AK6" s="703"/>
      <c r="AL6" s="703"/>
      <c r="AM6" s="719"/>
      <c r="AN6" s="719"/>
      <c r="AO6" s="719"/>
      <c r="AP6" s="719"/>
      <c r="AQ6" s="719"/>
      <c r="AR6" s="719"/>
      <c r="AS6" s="703"/>
      <c r="AT6" s="703"/>
      <c r="AU6" s="703"/>
      <c r="AV6" s="261"/>
      <c r="AW6" s="704" t="s">
        <v>352</v>
      </c>
      <c r="AX6" s="491" t="s">
        <v>356</v>
      </c>
      <c r="AY6" s="491"/>
      <c r="AZ6" s="491"/>
      <c r="BA6" s="491" t="s">
        <v>357</v>
      </c>
      <c r="BB6" s="491"/>
      <c r="BC6" s="491"/>
      <c r="BD6" s="491" t="s">
        <v>358</v>
      </c>
      <c r="BE6" s="491"/>
      <c r="BF6" s="491"/>
      <c r="BG6" s="734" t="s">
        <v>353</v>
      </c>
      <c r="BH6" s="491" t="s">
        <v>380</v>
      </c>
      <c r="BI6" s="491"/>
      <c r="BJ6" s="491"/>
      <c r="BK6" s="491"/>
      <c r="BL6" s="491" t="s">
        <v>381</v>
      </c>
      <c r="BM6" s="491"/>
      <c r="BN6" s="491"/>
      <c r="BO6" s="491"/>
    </row>
    <row r="7" spans="2:76" ht="15" customHeight="1"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730"/>
      <c r="R7" s="730"/>
      <c r="S7" s="730"/>
      <c r="T7" s="732"/>
      <c r="U7" s="732"/>
      <c r="V7" s="732"/>
      <c r="W7" s="729"/>
      <c r="X7" s="729"/>
      <c r="Y7" s="729"/>
      <c r="Z7" s="729"/>
      <c r="AA7" s="729"/>
      <c r="AB7" s="729"/>
      <c r="AC7" s="733"/>
      <c r="AD7" s="733"/>
      <c r="AE7" s="733"/>
      <c r="AF7" s="733"/>
      <c r="AG7" s="733"/>
      <c r="AH7" s="733"/>
      <c r="AI7" s="733"/>
      <c r="AJ7" s="702"/>
      <c r="AK7" s="702"/>
      <c r="AL7" s="702"/>
      <c r="AM7" s="724"/>
      <c r="AN7" s="724"/>
      <c r="AO7" s="724"/>
      <c r="AP7" s="724"/>
      <c r="AQ7" s="724"/>
      <c r="AR7" s="724"/>
      <c r="AS7" s="702"/>
      <c r="AT7" s="702"/>
      <c r="AU7" s="702"/>
      <c r="AV7" s="261"/>
      <c r="AW7" s="705"/>
      <c r="AX7" s="705"/>
      <c r="AY7" s="705"/>
      <c r="AZ7" s="705"/>
      <c r="BA7" s="491"/>
      <c r="BB7" s="491"/>
      <c r="BC7" s="491"/>
      <c r="BD7" s="491"/>
      <c r="BE7" s="491"/>
      <c r="BF7" s="491"/>
      <c r="BG7" s="735"/>
      <c r="BH7" s="491"/>
      <c r="BI7" s="491"/>
      <c r="BJ7" s="491"/>
      <c r="BK7" s="491"/>
      <c r="BL7" s="587"/>
      <c r="BM7" s="587"/>
      <c r="BN7" s="587"/>
      <c r="BO7" s="587"/>
    </row>
    <row r="8" spans="2:76" ht="15" customHeight="1">
      <c r="F8" s="29"/>
      <c r="P8" s="30"/>
      <c r="Q8" s="730"/>
      <c r="R8" s="730"/>
      <c r="S8" s="730"/>
      <c r="T8" s="731"/>
      <c r="U8" s="731"/>
      <c r="V8" s="731"/>
      <c r="W8" s="728"/>
      <c r="X8" s="728"/>
      <c r="Y8" s="728"/>
      <c r="Z8" s="728"/>
      <c r="AA8" s="728"/>
      <c r="AB8" s="728"/>
      <c r="AC8" s="709"/>
      <c r="AD8" s="709"/>
      <c r="AE8" s="709"/>
      <c r="AF8" s="709"/>
      <c r="AG8" s="709"/>
      <c r="AH8" s="709"/>
      <c r="AI8" s="709"/>
      <c r="AJ8" s="290"/>
      <c r="AK8" s="290"/>
      <c r="AL8" s="290"/>
      <c r="AM8" s="291"/>
      <c r="AN8" s="291"/>
      <c r="AO8" s="291"/>
      <c r="AP8" s="291"/>
      <c r="AQ8" s="291"/>
      <c r="AR8" s="291"/>
      <c r="AS8" s="703"/>
      <c r="AT8" s="703"/>
      <c r="AU8" s="703"/>
      <c r="AV8" s="261"/>
      <c r="AW8" s="705"/>
      <c r="AX8" s="705"/>
      <c r="AY8" s="705"/>
      <c r="AZ8" s="705"/>
      <c r="BA8" s="491"/>
      <c r="BB8" s="491"/>
      <c r="BC8" s="491"/>
      <c r="BD8" s="491"/>
      <c r="BE8" s="491"/>
      <c r="BF8" s="491"/>
      <c r="BG8" s="735"/>
      <c r="BH8" s="491"/>
      <c r="BI8" s="491"/>
      <c r="BJ8" s="491"/>
      <c r="BK8" s="491"/>
      <c r="BL8" s="587"/>
      <c r="BM8" s="587"/>
      <c r="BN8" s="587"/>
      <c r="BO8" s="587"/>
    </row>
    <row r="9" spans="2:76" ht="15" customHeight="1">
      <c r="B9" s="742" t="s">
        <v>412</v>
      </c>
      <c r="C9" s="742"/>
      <c r="D9" s="742"/>
      <c r="E9" s="742"/>
      <c r="F9" s="742"/>
      <c r="G9" s="742"/>
      <c r="H9" s="742"/>
      <c r="I9" s="742"/>
      <c r="J9" s="742"/>
      <c r="K9" s="742"/>
      <c r="L9" s="742"/>
      <c r="M9" s="742"/>
      <c r="N9" s="742"/>
      <c r="O9" s="742"/>
      <c r="P9" s="742"/>
      <c r="Q9" s="730"/>
      <c r="R9" s="730"/>
      <c r="S9" s="730"/>
      <c r="T9" s="732"/>
      <c r="U9" s="732"/>
      <c r="V9" s="732"/>
      <c r="W9" s="729"/>
      <c r="X9" s="729"/>
      <c r="Y9" s="729"/>
      <c r="Z9" s="729"/>
      <c r="AA9" s="729"/>
      <c r="AB9" s="729"/>
      <c r="AC9" s="733"/>
      <c r="AD9" s="733"/>
      <c r="AE9" s="733"/>
      <c r="AF9" s="733"/>
      <c r="AG9" s="733"/>
      <c r="AH9" s="733"/>
      <c r="AI9" s="733"/>
      <c r="AJ9" s="267"/>
      <c r="AK9" s="267"/>
      <c r="AL9" s="267"/>
      <c r="AM9" s="268"/>
      <c r="AN9" s="268"/>
      <c r="AO9" s="268"/>
      <c r="AP9" s="268"/>
      <c r="AQ9" s="268"/>
      <c r="AR9" s="268"/>
      <c r="AS9" s="702"/>
      <c r="AT9" s="702"/>
      <c r="AU9" s="702"/>
      <c r="AV9" s="261"/>
      <c r="AW9" s="705"/>
      <c r="AX9" s="705"/>
      <c r="AY9" s="705"/>
      <c r="AZ9" s="705"/>
      <c r="BA9" s="491"/>
      <c r="BB9" s="491"/>
      <c r="BC9" s="491"/>
      <c r="BD9" s="491"/>
      <c r="BE9" s="491"/>
      <c r="BF9" s="491"/>
      <c r="BG9" s="736"/>
      <c r="BH9" s="491"/>
      <c r="BI9" s="491"/>
      <c r="BJ9" s="491"/>
      <c r="BK9" s="491"/>
      <c r="BL9" s="587"/>
      <c r="BM9" s="587"/>
      <c r="BN9" s="587"/>
      <c r="BO9" s="587"/>
    </row>
    <row r="10" spans="2:76" ht="16.5" customHeight="1">
      <c r="B10" s="30" t="s">
        <v>49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30" t="s">
        <v>50</v>
      </c>
      <c r="BK10" s="693" t="s">
        <v>51</v>
      </c>
      <c r="BL10" s="693"/>
      <c r="BM10" s="693"/>
      <c r="BN10" s="693"/>
      <c r="BO10" s="693"/>
    </row>
    <row r="11" spans="2:76" ht="18" customHeight="1">
      <c r="B11" s="491" t="s">
        <v>52</v>
      </c>
      <c r="C11" s="491"/>
      <c r="D11" s="491"/>
      <c r="E11" s="491"/>
      <c r="F11" s="491"/>
      <c r="G11" s="491"/>
      <c r="H11" s="587" t="s">
        <v>342</v>
      </c>
      <c r="I11" s="587"/>
      <c r="J11" s="587"/>
      <c r="K11" s="587"/>
      <c r="L11" s="587"/>
      <c r="M11" s="587"/>
      <c r="N11" s="491" t="s">
        <v>53</v>
      </c>
      <c r="O11" s="491"/>
      <c r="P11" s="491"/>
      <c r="Q11" s="491"/>
      <c r="R11" s="491"/>
      <c r="S11" s="491"/>
      <c r="T11" s="491"/>
      <c r="U11" s="491"/>
      <c r="V11" s="491"/>
      <c r="W11" s="491"/>
      <c r="X11" s="491"/>
      <c r="Y11" s="491"/>
      <c r="Z11" s="491"/>
      <c r="AA11" s="491"/>
      <c r="AB11" s="491"/>
      <c r="AC11" s="587" t="s">
        <v>54</v>
      </c>
      <c r="AD11" s="587"/>
      <c r="AE11" s="28"/>
      <c r="AF11" s="491" t="s">
        <v>55</v>
      </c>
      <c r="AG11" s="491"/>
      <c r="AH11" s="491"/>
      <c r="AI11" s="587" t="s">
        <v>56</v>
      </c>
      <c r="AJ11" s="587"/>
      <c r="AK11" s="587"/>
      <c r="AL11" s="587"/>
      <c r="AM11" s="587"/>
      <c r="AN11" s="587"/>
      <c r="AO11" s="587"/>
      <c r="AP11" s="587" t="s">
        <v>57</v>
      </c>
      <c r="AQ11" s="587"/>
      <c r="AR11" s="587"/>
      <c r="AS11" s="587"/>
      <c r="AT11" s="587"/>
      <c r="AU11" s="587"/>
      <c r="AV11" s="587"/>
      <c r="AW11" s="587" t="s">
        <v>58</v>
      </c>
      <c r="AX11" s="587"/>
      <c r="AY11" s="587"/>
      <c r="AZ11" s="587"/>
      <c r="BA11" s="587"/>
      <c r="BB11" s="587"/>
      <c r="BC11" s="587"/>
      <c r="BD11" s="587" t="s">
        <v>59</v>
      </c>
      <c r="BE11" s="587"/>
      <c r="BF11" s="587"/>
      <c r="BG11" s="587"/>
      <c r="BH11" s="587"/>
      <c r="BI11" s="587"/>
      <c r="BJ11" s="587" t="s">
        <v>60</v>
      </c>
      <c r="BK11" s="587"/>
      <c r="BL11" s="587"/>
      <c r="BM11" s="587" t="s">
        <v>61</v>
      </c>
      <c r="BN11" s="587"/>
      <c r="BO11" s="587"/>
    </row>
    <row r="12" spans="2:76" ht="18" customHeight="1">
      <c r="B12" s="491"/>
      <c r="C12" s="491"/>
      <c r="D12" s="491"/>
      <c r="E12" s="491"/>
      <c r="F12" s="491"/>
      <c r="G12" s="491"/>
      <c r="H12" s="587"/>
      <c r="I12" s="587"/>
      <c r="J12" s="587"/>
      <c r="K12" s="587"/>
      <c r="L12" s="587"/>
      <c r="M12" s="587"/>
      <c r="N12" s="491" t="s">
        <v>62</v>
      </c>
      <c r="O12" s="491"/>
      <c r="P12" s="491"/>
      <c r="Q12" s="491"/>
      <c r="R12" s="491"/>
      <c r="S12" s="491" t="s">
        <v>63</v>
      </c>
      <c r="T12" s="491"/>
      <c r="U12" s="491"/>
      <c r="V12" s="491"/>
      <c r="W12" s="491"/>
      <c r="X12" s="491" t="s">
        <v>64</v>
      </c>
      <c r="Y12" s="491"/>
      <c r="Z12" s="491"/>
      <c r="AA12" s="491"/>
      <c r="AB12" s="491"/>
      <c r="AC12" s="587"/>
      <c r="AD12" s="587"/>
      <c r="AE12" s="28"/>
      <c r="AF12" s="491"/>
      <c r="AG12" s="491"/>
      <c r="AH12" s="491"/>
      <c r="AI12" s="587"/>
      <c r="AJ12" s="587"/>
      <c r="AK12" s="587"/>
      <c r="AL12" s="587"/>
      <c r="AM12" s="587"/>
      <c r="AN12" s="587"/>
      <c r="AO12" s="587"/>
      <c r="AP12" s="587"/>
      <c r="AQ12" s="587"/>
      <c r="AR12" s="587"/>
      <c r="AS12" s="587"/>
      <c r="AT12" s="587"/>
      <c r="AU12" s="587"/>
      <c r="AV12" s="587"/>
      <c r="AW12" s="587"/>
      <c r="AX12" s="587"/>
      <c r="AY12" s="587"/>
      <c r="AZ12" s="587"/>
      <c r="BA12" s="587"/>
      <c r="BB12" s="587"/>
      <c r="BC12" s="587"/>
      <c r="BD12" s="587"/>
      <c r="BE12" s="587"/>
      <c r="BF12" s="587"/>
      <c r="BG12" s="587"/>
      <c r="BH12" s="587"/>
      <c r="BI12" s="587"/>
      <c r="BJ12" s="587"/>
      <c r="BK12" s="587"/>
      <c r="BL12" s="587"/>
      <c r="BM12" s="587"/>
      <c r="BN12" s="587"/>
      <c r="BO12" s="587"/>
    </row>
    <row r="13" spans="2:76" ht="18" customHeight="1">
      <c r="B13" s="749" t="s">
        <v>65</v>
      </c>
      <c r="C13" s="750"/>
      <c r="D13" s="588" t="s">
        <v>66</v>
      </c>
      <c r="E13" s="588"/>
      <c r="F13" s="588"/>
      <c r="G13" s="588"/>
      <c r="H13" s="754">
        <v>1572500</v>
      </c>
      <c r="I13" s="755"/>
      <c r="J13" s="755"/>
      <c r="K13" s="755"/>
      <c r="L13" s="755"/>
      <c r="M13" s="756"/>
      <c r="N13" s="654">
        <f>'업체별지급현황(총괄)'!E5</f>
        <v>0</v>
      </c>
      <c r="O13" s="654"/>
      <c r="P13" s="654"/>
      <c r="Q13" s="654"/>
      <c r="R13" s="654"/>
      <c r="S13" s="626">
        <f>'업체별지급현황(총괄)'!F5</f>
        <v>2510000</v>
      </c>
      <c r="T13" s="626"/>
      <c r="U13" s="626"/>
      <c r="V13" s="626"/>
      <c r="W13" s="626"/>
      <c r="X13" s="654">
        <f>SUM(N13:W13)</f>
        <v>2510000</v>
      </c>
      <c r="Y13" s="654"/>
      <c r="Z13" s="654"/>
      <c r="AA13" s="654"/>
      <c r="AB13" s="654"/>
      <c r="AC13" s="597">
        <f>IF((H13=0),0,X13/H13)</f>
        <v>1.5961844197138315</v>
      </c>
      <c r="AD13" s="597"/>
      <c r="AE13" s="28"/>
      <c r="AF13" s="588" t="s">
        <v>67</v>
      </c>
      <c r="AG13" s="588"/>
      <c r="AH13" s="588"/>
      <c r="AI13" s="660">
        <f>W5</f>
        <v>186154273</v>
      </c>
      <c r="AJ13" s="661"/>
      <c r="AK13" s="661"/>
      <c r="AL13" s="661"/>
      <c r="AM13" s="661"/>
      <c r="AN13" s="661"/>
      <c r="AO13" s="662"/>
      <c r="AP13" s="699"/>
      <c r="AQ13" s="700"/>
      <c r="AR13" s="700"/>
      <c r="AS13" s="700"/>
      <c r="AT13" s="700"/>
      <c r="AU13" s="700"/>
      <c r="AV13" s="701"/>
      <c r="AW13" s="518"/>
      <c r="AX13" s="519"/>
      <c r="AY13" s="519"/>
      <c r="AZ13" s="519"/>
      <c r="BA13" s="519"/>
      <c r="BB13" s="519"/>
      <c r="BC13" s="520"/>
      <c r="BD13" s="502">
        <f>N32</f>
        <v>10442290</v>
      </c>
      <c r="BE13" s="503"/>
      <c r="BF13" s="503"/>
      <c r="BG13" s="503"/>
      <c r="BH13" s="503"/>
      <c r="BI13" s="504"/>
      <c r="BJ13" s="499">
        <f>AP13/AI13</f>
        <v>0</v>
      </c>
      <c r="BK13" s="500"/>
      <c r="BL13" s="501"/>
      <c r="BM13" s="498">
        <f>IF((AP13=0),0,BD13/AP13)</f>
        <v>0</v>
      </c>
      <c r="BN13" s="498"/>
      <c r="BO13" s="498"/>
      <c r="BQ13" s="220"/>
    </row>
    <row r="14" spans="2:76" ht="18" customHeight="1">
      <c r="B14" s="735"/>
      <c r="C14" s="751"/>
      <c r="D14" s="625" t="s">
        <v>68</v>
      </c>
      <c r="E14" s="625"/>
      <c r="F14" s="625"/>
      <c r="G14" s="625"/>
      <c r="H14" s="675">
        <v>2206070</v>
      </c>
      <c r="I14" s="676"/>
      <c r="J14" s="676"/>
      <c r="K14" s="676"/>
      <c r="L14" s="676"/>
      <c r="M14" s="677"/>
      <c r="N14" s="629">
        <f>'업체별지급현황(총괄)'!E6</f>
        <v>0</v>
      </c>
      <c r="O14" s="629"/>
      <c r="P14" s="629"/>
      <c r="Q14" s="629"/>
      <c r="R14" s="629"/>
      <c r="S14" s="658">
        <f>'업체별지급현황(총괄)'!F6</f>
        <v>0</v>
      </c>
      <c r="T14" s="658"/>
      <c r="U14" s="658"/>
      <c r="V14" s="658"/>
      <c r="W14" s="658"/>
      <c r="X14" s="629">
        <f t="shared" ref="X14:X30" si="0">SUM(N14:W14)</f>
        <v>0</v>
      </c>
      <c r="Y14" s="629"/>
      <c r="Z14" s="629"/>
      <c r="AA14" s="629"/>
      <c r="AB14" s="629"/>
      <c r="AC14" s="602">
        <f t="shared" ref="AC14:AC16" si="1">IF((H14=0),0,X14/H14)</f>
        <v>0</v>
      </c>
      <c r="AD14" s="602"/>
      <c r="AE14" s="231"/>
      <c r="AF14" s="659" t="s">
        <v>69</v>
      </c>
      <c r="AG14" s="659"/>
      <c r="AH14" s="659"/>
      <c r="AI14" s="663"/>
      <c r="AJ14" s="664"/>
      <c r="AK14" s="664"/>
      <c r="AL14" s="664"/>
      <c r="AM14" s="664"/>
      <c r="AN14" s="664"/>
      <c r="AO14" s="665"/>
      <c r="AP14" s="696"/>
      <c r="AQ14" s="697"/>
      <c r="AR14" s="697"/>
      <c r="AS14" s="697"/>
      <c r="AT14" s="697"/>
      <c r="AU14" s="697"/>
      <c r="AV14" s="698"/>
      <c r="AW14" s="505"/>
      <c r="AX14" s="506"/>
      <c r="AY14" s="506"/>
      <c r="AZ14" s="506"/>
      <c r="BA14" s="506"/>
      <c r="BB14" s="506"/>
      <c r="BC14" s="507"/>
      <c r="BD14" s="512">
        <f>S32</f>
        <v>121166316</v>
      </c>
      <c r="BE14" s="513"/>
      <c r="BF14" s="513"/>
      <c r="BG14" s="513"/>
      <c r="BH14" s="513"/>
      <c r="BI14" s="514"/>
      <c r="BJ14" s="515">
        <f>AP14/AI13</f>
        <v>0</v>
      </c>
      <c r="BK14" s="516"/>
      <c r="BL14" s="517"/>
      <c r="BM14" s="511">
        <f t="shared" ref="BM14:BM15" si="2">IF((AP14=0),0,BD14/AP14)</f>
        <v>0</v>
      </c>
      <c r="BN14" s="511"/>
      <c r="BO14" s="511"/>
      <c r="BQ14" s="220"/>
      <c r="BR14" s="24"/>
      <c r="BS14" s="24"/>
      <c r="BT14" s="24"/>
      <c r="BU14" s="24"/>
      <c r="BV14" s="24"/>
    </row>
    <row r="15" spans="2:76" ht="18" customHeight="1">
      <c r="B15" s="735"/>
      <c r="C15" s="751"/>
      <c r="D15" s="625" t="s">
        <v>70</v>
      </c>
      <c r="E15" s="625"/>
      <c r="F15" s="625"/>
      <c r="G15" s="625"/>
      <c r="H15" s="675">
        <v>12049769</v>
      </c>
      <c r="I15" s="676"/>
      <c r="J15" s="676"/>
      <c r="K15" s="676"/>
      <c r="L15" s="676"/>
      <c r="M15" s="677"/>
      <c r="N15" s="629">
        <f>'업체별지급현황(총괄)'!E7</f>
        <v>0</v>
      </c>
      <c r="O15" s="629"/>
      <c r="P15" s="629"/>
      <c r="Q15" s="629"/>
      <c r="R15" s="629"/>
      <c r="S15" s="658">
        <f>'업체별지급현황(총괄)'!F7</f>
        <v>0</v>
      </c>
      <c r="T15" s="658"/>
      <c r="U15" s="658"/>
      <c r="V15" s="658"/>
      <c r="W15" s="658"/>
      <c r="X15" s="629">
        <f t="shared" si="0"/>
        <v>0</v>
      </c>
      <c r="Y15" s="629"/>
      <c r="Z15" s="629"/>
      <c r="AA15" s="629"/>
      <c r="AB15" s="629"/>
      <c r="AC15" s="602">
        <f t="shared" si="1"/>
        <v>0</v>
      </c>
      <c r="AD15" s="602"/>
      <c r="AE15" s="232"/>
      <c r="AF15" s="491" t="s">
        <v>26</v>
      </c>
      <c r="AG15" s="491"/>
      <c r="AH15" s="491"/>
      <c r="AI15" s="663"/>
      <c r="AJ15" s="664"/>
      <c r="AK15" s="664"/>
      <c r="AL15" s="664"/>
      <c r="AM15" s="664"/>
      <c r="AN15" s="664"/>
      <c r="AO15" s="665"/>
      <c r="AP15" s="505"/>
      <c r="AQ15" s="506"/>
      <c r="AR15" s="506"/>
      <c r="AS15" s="506"/>
      <c r="AT15" s="506"/>
      <c r="AU15" s="506"/>
      <c r="AV15" s="507"/>
      <c r="AW15" s="687"/>
      <c r="AX15" s="688"/>
      <c r="AY15" s="688"/>
      <c r="AZ15" s="688"/>
      <c r="BA15" s="688"/>
      <c r="BB15" s="688"/>
      <c r="BC15" s="689"/>
      <c r="BD15" s="521">
        <f>BD13+BD14</f>
        <v>131608606</v>
      </c>
      <c r="BE15" s="522"/>
      <c r="BF15" s="522"/>
      <c r="BG15" s="522"/>
      <c r="BH15" s="522"/>
      <c r="BI15" s="523"/>
      <c r="BJ15" s="508">
        <f>AP15/AI13</f>
        <v>0</v>
      </c>
      <c r="BK15" s="509"/>
      <c r="BL15" s="510"/>
      <c r="BM15" s="498">
        <f t="shared" si="2"/>
        <v>0</v>
      </c>
      <c r="BN15" s="498"/>
      <c r="BO15" s="498"/>
      <c r="BQ15" s="220"/>
      <c r="BS15" s="264"/>
      <c r="BX15" s="178"/>
    </row>
    <row r="16" spans="2:76" ht="18" customHeight="1">
      <c r="B16" s="735"/>
      <c r="C16" s="751"/>
      <c r="D16" s="632" t="s">
        <v>71</v>
      </c>
      <c r="E16" s="632"/>
      <c r="F16" s="632"/>
      <c r="G16" s="632"/>
      <c r="H16" s="678"/>
      <c r="I16" s="679"/>
      <c r="J16" s="679"/>
      <c r="K16" s="679"/>
      <c r="L16" s="679"/>
      <c r="M16" s="680"/>
      <c r="N16" s="627">
        <f>'업체별지급현황(총괄)'!E8</f>
        <v>0</v>
      </c>
      <c r="O16" s="627"/>
      <c r="P16" s="627"/>
      <c r="Q16" s="627"/>
      <c r="R16" s="627"/>
      <c r="S16" s="681">
        <f>'업체별지급현황(총괄)'!F8</f>
        <v>0</v>
      </c>
      <c r="T16" s="681"/>
      <c r="U16" s="681"/>
      <c r="V16" s="681"/>
      <c r="W16" s="681"/>
      <c r="X16" s="627">
        <f t="shared" si="0"/>
        <v>0</v>
      </c>
      <c r="Y16" s="627"/>
      <c r="Z16" s="627"/>
      <c r="AA16" s="627"/>
      <c r="AB16" s="627"/>
      <c r="AC16" s="628">
        <f t="shared" si="1"/>
        <v>0</v>
      </c>
      <c r="AD16" s="628"/>
      <c r="AE16" s="28"/>
      <c r="AF16" s="491" t="s">
        <v>243</v>
      </c>
      <c r="AG16" s="491"/>
      <c r="AH16" s="491"/>
      <c r="AI16" s="491"/>
      <c r="AJ16" s="491"/>
      <c r="AK16" s="491"/>
      <c r="AL16" s="491"/>
      <c r="AM16" s="491"/>
      <c r="AN16" s="491"/>
      <c r="AO16" s="491"/>
      <c r="AP16" s="491"/>
      <c r="AQ16" s="491"/>
      <c r="AR16" s="491"/>
      <c r="AS16" s="491"/>
      <c r="AT16" s="491"/>
      <c r="AU16" s="491"/>
      <c r="AV16" s="491"/>
      <c r="AW16" s="491"/>
      <c r="AX16" s="491"/>
      <c r="AY16" s="491"/>
      <c r="AZ16" s="491"/>
      <c r="BA16" s="491"/>
      <c r="BB16" s="491"/>
      <c r="BC16" s="491"/>
      <c r="BD16" s="690">
        <f>BD15-BC35</f>
        <v>131608606</v>
      </c>
      <c r="BE16" s="691"/>
      <c r="BF16" s="691"/>
      <c r="BG16" s="691"/>
      <c r="BH16" s="691"/>
      <c r="BI16" s="692"/>
      <c r="BJ16" s="491" t="s">
        <v>337</v>
      </c>
      <c r="BK16" s="491"/>
      <c r="BL16" s="491"/>
      <c r="BM16" s="686" t="e">
        <f>BD16/AW15</f>
        <v>#DIV/0!</v>
      </c>
      <c r="BN16" s="686"/>
      <c r="BO16" s="686"/>
      <c r="BP16" s="219"/>
      <c r="BQ16" s="220"/>
      <c r="BS16" s="176"/>
      <c r="BX16" s="177"/>
    </row>
    <row r="17" spans="2:77" ht="18" customHeight="1">
      <c r="B17" s="752"/>
      <c r="C17" s="753"/>
      <c r="D17" s="682" t="s">
        <v>483</v>
      </c>
      <c r="E17" s="683"/>
      <c r="F17" s="683"/>
      <c r="G17" s="684"/>
      <c r="H17" s="746">
        <v>90855500</v>
      </c>
      <c r="I17" s="747"/>
      <c r="J17" s="747"/>
      <c r="K17" s="747"/>
      <c r="L17" s="747"/>
      <c r="M17" s="748"/>
      <c r="N17" s="673">
        <f>'업체별지급현황(총괄)'!E9</f>
        <v>0</v>
      </c>
      <c r="O17" s="673"/>
      <c r="P17" s="673"/>
      <c r="Q17" s="673"/>
      <c r="R17" s="673"/>
      <c r="S17" s="630">
        <f>'업체별지급현황(총괄)'!F9</f>
        <v>101505000</v>
      </c>
      <c r="T17" s="630"/>
      <c r="U17" s="630"/>
      <c r="V17" s="630"/>
      <c r="W17" s="630"/>
      <c r="X17" s="673">
        <f>SUM(N17:W17)</f>
        <v>101505000</v>
      </c>
      <c r="Y17" s="673"/>
      <c r="Z17" s="673"/>
      <c r="AA17" s="673"/>
      <c r="AB17" s="673"/>
      <c r="AC17" s="631">
        <f>IF((H17=0),0,X17/H17)</f>
        <v>1.1172135974156765</v>
      </c>
      <c r="AD17" s="631"/>
      <c r="AE17" s="28"/>
      <c r="AF17" s="30" t="s">
        <v>244</v>
      </c>
      <c r="BN17" s="27" t="s">
        <v>323</v>
      </c>
      <c r="BS17" s="176"/>
    </row>
    <row r="18" spans="2:77" s="241" customFormat="1" ht="18" customHeight="1">
      <c r="B18" s="497" t="s">
        <v>484</v>
      </c>
      <c r="C18" s="497"/>
      <c r="D18" s="497"/>
      <c r="E18" s="497"/>
      <c r="F18" s="497"/>
      <c r="G18" s="497"/>
      <c r="H18" s="653">
        <f>SUM(H13:M17)</f>
        <v>106683839</v>
      </c>
      <c r="I18" s="653"/>
      <c r="J18" s="653"/>
      <c r="K18" s="653"/>
      <c r="L18" s="653"/>
      <c r="M18" s="653"/>
      <c r="N18" s="652">
        <f>SUM(N13:R17)</f>
        <v>0</v>
      </c>
      <c r="O18" s="652"/>
      <c r="P18" s="652"/>
      <c r="Q18" s="652"/>
      <c r="R18" s="652"/>
      <c r="S18" s="652">
        <f>SUM(S13:W17)</f>
        <v>104015000</v>
      </c>
      <c r="T18" s="652"/>
      <c r="U18" s="652"/>
      <c r="V18" s="652"/>
      <c r="W18" s="652"/>
      <c r="X18" s="653">
        <f>SUM(N18:W18)</f>
        <v>104015000</v>
      </c>
      <c r="Y18" s="653"/>
      <c r="Z18" s="653"/>
      <c r="AA18" s="653"/>
      <c r="AB18" s="653"/>
      <c r="AC18" s="597">
        <f>IF((H18=0),0,X18/H18)</f>
        <v>0.97498366177092666</v>
      </c>
      <c r="AD18" s="597"/>
      <c r="AE18" s="240"/>
      <c r="AF18" s="497" t="s">
        <v>329</v>
      </c>
      <c r="AG18" s="497"/>
      <c r="AH18" s="497"/>
      <c r="AI18" s="497"/>
      <c r="AJ18" s="497"/>
      <c r="AK18" s="497" t="s">
        <v>246</v>
      </c>
      <c r="AL18" s="497"/>
      <c r="AM18" s="497"/>
      <c r="AN18" s="497"/>
      <c r="AO18" s="497"/>
      <c r="AP18" s="497"/>
      <c r="AQ18" s="497" t="s">
        <v>247</v>
      </c>
      <c r="AR18" s="497"/>
      <c r="AS18" s="497"/>
      <c r="AT18" s="497"/>
      <c r="AU18" s="497"/>
      <c r="AV18" s="497"/>
      <c r="AW18" s="497" t="s">
        <v>248</v>
      </c>
      <c r="AX18" s="497"/>
      <c r="AY18" s="497"/>
      <c r="AZ18" s="497"/>
      <c r="BA18" s="497"/>
      <c r="BB18" s="497"/>
      <c r="BC18" s="497" t="s">
        <v>249</v>
      </c>
      <c r="BD18" s="497"/>
      <c r="BE18" s="497"/>
      <c r="BF18" s="497"/>
      <c r="BG18" s="497"/>
      <c r="BH18" s="497"/>
      <c r="BI18" s="497"/>
      <c r="BJ18" s="497" t="s">
        <v>250</v>
      </c>
      <c r="BK18" s="497"/>
      <c r="BL18" s="497"/>
      <c r="BM18" s="497"/>
      <c r="BN18" s="497"/>
      <c r="BO18" s="497"/>
      <c r="BQ18" s="242"/>
      <c r="BR18" s="242"/>
      <c r="BS18" s="242"/>
      <c r="BT18" s="242"/>
      <c r="BU18" s="242"/>
      <c r="BV18" s="242"/>
      <c r="BW18" s="242"/>
    </row>
    <row r="19" spans="2:77" s="241" customFormat="1" ht="18" customHeight="1">
      <c r="B19" s="612" t="s">
        <v>485</v>
      </c>
      <c r="C19" s="613"/>
      <c r="D19" s="590" t="s">
        <v>341</v>
      </c>
      <c r="E19" s="590"/>
      <c r="F19" s="590"/>
      <c r="G19" s="590"/>
      <c r="H19" s="618">
        <v>1000000</v>
      </c>
      <c r="I19" s="619"/>
      <c r="J19" s="619"/>
      <c r="K19" s="619"/>
      <c r="L19" s="619"/>
      <c r="M19" s="620"/>
      <c r="N19" s="603">
        <f>'업체별지급현황(총괄)'!E10</f>
        <v>840500</v>
      </c>
      <c r="O19" s="604"/>
      <c r="P19" s="604"/>
      <c r="Q19" s="604"/>
      <c r="R19" s="605"/>
      <c r="S19" s="646">
        <f>'업체별지급현황(총괄)'!F10</f>
        <v>350000</v>
      </c>
      <c r="T19" s="647"/>
      <c r="U19" s="647"/>
      <c r="V19" s="647"/>
      <c r="W19" s="648"/>
      <c r="X19" s="603">
        <f t="shared" si="0"/>
        <v>1190500</v>
      </c>
      <c r="Y19" s="604"/>
      <c r="Z19" s="604"/>
      <c r="AA19" s="604"/>
      <c r="AB19" s="605"/>
      <c r="AC19" s="597">
        <f t="shared" ref="AC19:AC32" si="3">IF((H19=0),0,X19/H19)</f>
        <v>1.1904999999999999</v>
      </c>
      <c r="AD19" s="597"/>
      <c r="AE19" s="240"/>
      <c r="AF19" s="497" t="s">
        <v>328</v>
      </c>
      <c r="AG19" s="497"/>
      <c r="AH19" s="497"/>
      <c r="AI19" s="497"/>
      <c r="AJ19" s="497"/>
      <c r="AK19" s="621">
        <v>0</v>
      </c>
      <c r="AL19" s="621"/>
      <c r="AM19" s="621"/>
      <c r="AN19" s="621"/>
      <c r="AO19" s="621"/>
      <c r="AP19" s="621"/>
      <c r="AQ19" s="621">
        <v>186154273</v>
      </c>
      <c r="AR19" s="621"/>
      <c r="AS19" s="621"/>
      <c r="AT19" s="621"/>
      <c r="AU19" s="621"/>
      <c r="AV19" s="621"/>
      <c r="AW19" s="694">
        <f>AQ19+AK19</f>
        <v>186154273</v>
      </c>
      <c r="AX19" s="694"/>
      <c r="AY19" s="694"/>
      <c r="AZ19" s="694"/>
      <c r="BA19" s="694"/>
      <c r="BB19" s="694"/>
      <c r="BC19" s="695">
        <f>W5-AW19</f>
        <v>0</v>
      </c>
      <c r="BD19" s="695"/>
      <c r="BE19" s="695"/>
      <c r="BF19" s="695"/>
      <c r="BG19" s="695"/>
      <c r="BH19" s="695"/>
      <c r="BI19" s="695"/>
      <c r="BJ19" s="685" t="s">
        <v>330</v>
      </c>
      <c r="BK19" s="685"/>
      <c r="BL19" s="685"/>
      <c r="BM19" s="685"/>
      <c r="BN19" s="685"/>
      <c r="BO19" s="685"/>
      <c r="BQ19" s="243"/>
      <c r="BS19" s="244"/>
    </row>
    <row r="20" spans="2:77" s="241" customFormat="1" ht="18" customHeight="1">
      <c r="B20" s="614"/>
      <c r="C20" s="615"/>
      <c r="D20" s="666" t="s">
        <v>416</v>
      </c>
      <c r="E20" s="666"/>
      <c r="F20" s="666"/>
      <c r="G20" s="666"/>
      <c r="H20" s="670">
        <v>10000000</v>
      </c>
      <c r="I20" s="671"/>
      <c r="J20" s="671"/>
      <c r="K20" s="671"/>
      <c r="L20" s="671"/>
      <c r="M20" s="672"/>
      <c r="N20" s="540">
        <f>'업체별지급현황(총괄)'!E11</f>
        <v>5000000</v>
      </c>
      <c r="O20" s="541"/>
      <c r="P20" s="541"/>
      <c r="Q20" s="541"/>
      <c r="R20" s="542"/>
      <c r="S20" s="643">
        <f>'업체별지급현황(총괄)'!F11</f>
        <v>5000000</v>
      </c>
      <c r="T20" s="644"/>
      <c r="U20" s="644"/>
      <c r="V20" s="644"/>
      <c r="W20" s="645"/>
      <c r="X20" s="540">
        <f>SUM(N20:W20)</f>
        <v>10000000</v>
      </c>
      <c r="Y20" s="541"/>
      <c r="Z20" s="541"/>
      <c r="AA20" s="541"/>
      <c r="AB20" s="542"/>
      <c r="AC20" s="602">
        <f t="shared" si="3"/>
        <v>1</v>
      </c>
      <c r="AD20" s="602"/>
      <c r="AE20" s="240"/>
      <c r="AF20" s="292" t="s">
        <v>251</v>
      </c>
      <c r="AG20" s="246"/>
      <c r="AH20" s="246"/>
      <c r="AI20" s="246"/>
      <c r="AJ20" s="246"/>
      <c r="AK20" s="247"/>
      <c r="AL20" s="247"/>
      <c r="AM20" s="247"/>
      <c r="AN20" s="247"/>
      <c r="AO20" s="247"/>
      <c r="AP20" s="247"/>
      <c r="AQ20" s="247"/>
      <c r="AR20" s="247"/>
      <c r="AS20" s="247"/>
      <c r="AT20" s="247"/>
      <c r="AU20" s="248"/>
      <c r="AV20" s="248"/>
      <c r="AW20" s="248"/>
      <c r="AX20" s="249"/>
      <c r="AY20" s="249"/>
      <c r="AZ20" s="249"/>
      <c r="BA20" s="249"/>
      <c r="BB20" s="250"/>
      <c r="BC20" s="247"/>
      <c r="BD20" s="247"/>
      <c r="BE20" s="247"/>
      <c r="BF20" s="247"/>
      <c r="BG20" s="247"/>
      <c r="BH20" s="251"/>
      <c r="BI20" s="251"/>
      <c r="BJ20" s="251"/>
      <c r="BK20" s="251"/>
      <c r="BL20" s="251"/>
      <c r="BM20" s="248"/>
      <c r="BN20" s="248"/>
      <c r="BO20" s="248"/>
      <c r="BQ20" s="243"/>
      <c r="BS20" s="244"/>
      <c r="BY20" s="244"/>
    </row>
    <row r="21" spans="2:77" s="241" customFormat="1" ht="23.25" customHeight="1">
      <c r="B21" s="616"/>
      <c r="C21" s="617"/>
      <c r="D21" s="674" t="s">
        <v>487</v>
      </c>
      <c r="E21" s="674"/>
      <c r="F21" s="674"/>
      <c r="G21" s="674"/>
      <c r="H21" s="667">
        <v>5804361</v>
      </c>
      <c r="I21" s="668"/>
      <c r="J21" s="668"/>
      <c r="K21" s="668"/>
      <c r="L21" s="668"/>
      <c r="M21" s="669"/>
      <c r="N21" s="559">
        <f>'업체별지급현황(총괄)'!E12</f>
        <v>4395000</v>
      </c>
      <c r="O21" s="560"/>
      <c r="P21" s="560"/>
      <c r="Q21" s="560"/>
      <c r="R21" s="561"/>
      <c r="S21" s="633">
        <f>'업체별지급현황(총괄)'!F12</f>
        <v>650000</v>
      </c>
      <c r="T21" s="634"/>
      <c r="U21" s="634"/>
      <c r="V21" s="634"/>
      <c r="W21" s="635"/>
      <c r="X21" s="559">
        <f t="shared" si="0"/>
        <v>5045000</v>
      </c>
      <c r="Y21" s="560"/>
      <c r="Z21" s="560"/>
      <c r="AA21" s="560"/>
      <c r="AB21" s="561"/>
      <c r="AC21" s="624">
        <f t="shared" si="3"/>
        <v>0.86917405723041696</v>
      </c>
      <c r="AD21" s="624"/>
      <c r="AE21" s="240"/>
      <c r="AF21" s="497" t="s">
        <v>245</v>
      </c>
      <c r="AG21" s="497"/>
      <c r="AH21" s="497"/>
      <c r="AI21" s="497"/>
      <c r="AJ21" s="497"/>
      <c r="AK21" s="497" t="s">
        <v>252</v>
      </c>
      <c r="AL21" s="497"/>
      <c r="AM21" s="497"/>
      <c r="AN21" s="497"/>
      <c r="AO21" s="497"/>
      <c r="AP21" s="497"/>
      <c r="AQ21" s="497" t="s">
        <v>253</v>
      </c>
      <c r="AR21" s="497"/>
      <c r="AS21" s="497"/>
      <c r="AT21" s="497"/>
      <c r="AU21" s="497"/>
      <c r="AV21" s="497"/>
      <c r="AW21" s="497" t="s">
        <v>254</v>
      </c>
      <c r="AX21" s="497"/>
      <c r="AY21" s="497"/>
      <c r="AZ21" s="497"/>
      <c r="BA21" s="497"/>
      <c r="BB21" s="497"/>
      <c r="BC21" s="497" t="s">
        <v>255</v>
      </c>
      <c r="BD21" s="497"/>
      <c r="BE21" s="497"/>
      <c r="BF21" s="497"/>
      <c r="BG21" s="497"/>
      <c r="BH21" s="497"/>
      <c r="BI21" s="497"/>
      <c r="BJ21" s="497" t="s">
        <v>250</v>
      </c>
      <c r="BK21" s="497"/>
      <c r="BL21" s="497"/>
      <c r="BM21" s="497"/>
      <c r="BN21" s="497"/>
      <c r="BO21" s="497"/>
      <c r="BS21" s="243"/>
      <c r="BY21" s="244"/>
    </row>
    <row r="22" spans="2:77" s="241" customFormat="1" ht="18" customHeight="1">
      <c r="B22" s="606" t="s">
        <v>486</v>
      </c>
      <c r="C22" s="607"/>
      <c r="D22" s="607"/>
      <c r="E22" s="607"/>
      <c r="F22" s="607"/>
      <c r="G22" s="608"/>
      <c r="H22" s="528">
        <f>SUM(H19:M21)</f>
        <v>16804361</v>
      </c>
      <c r="I22" s="529"/>
      <c r="J22" s="529"/>
      <c r="K22" s="529"/>
      <c r="L22" s="529"/>
      <c r="M22" s="530"/>
      <c r="N22" s="655">
        <f>SUM(N19:R21)</f>
        <v>10235500</v>
      </c>
      <c r="O22" s="656"/>
      <c r="P22" s="656"/>
      <c r="Q22" s="656"/>
      <c r="R22" s="657"/>
      <c r="S22" s="655">
        <f>SUM(S19:W21)</f>
        <v>6000000</v>
      </c>
      <c r="T22" s="656"/>
      <c r="U22" s="656"/>
      <c r="V22" s="656"/>
      <c r="W22" s="657"/>
      <c r="X22" s="528">
        <f t="shared" si="0"/>
        <v>16235500</v>
      </c>
      <c r="Y22" s="529"/>
      <c r="Z22" s="529"/>
      <c r="AA22" s="529"/>
      <c r="AB22" s="530"/>
      <c r="AC22" s="597">
        <f t="shared" si="3"/>
        <v>0.96614801360194535</v>
      </c>
      <c r="AD22" s="597"/>
      <c r="AE22" s="240"/>
      <c r="AF22" s="599" t="s">
        <v>331</v>
      </c>
      <c r="AG22" s="600"/>
      <c r="AH22" s="600"/>
      <c r="AI22" s="600"/>
      <c r="AJ22" s="600"/>
      <c r="AK22" s="600"/>
      <c r="AL22" s="600"/>
      <c r="AM22" s="600"/>
      <c r="AN22" s="600"/>
      <c r="AO22" s="600"/>
      <c r="AP22" s="601"/>
      <c r="AQ22" s="496"/>
      <c r="AR22" s="496"/>
      <c r="AS22" s="496"/>
      <c r="AT22" s="496"/>
      <c r="AU22" s="496"/>
      <c r="AV22" s="496"/>
      <c r="AW22" s="496"/>
      <c r="AX22" s="496"/>
      <c r="AY22" s="496"/>
      <c r="AZ22" s="496"/>
      <c r="BA22" s="496"/>
      <c r="BB22" s="496"/>
      <c r="BC22" s="496">
        <f t="shared" ref="BC22:BC27" si="4">AQ22-AW22</f>
        <v>0</v>
      </c>
      <c r="BD22" s="496"/>
      <c r="BE22" s="496"/>
      <c r="BF22" s="496"/>
      <c r="BG22" s="496"/>
      <c r="BH22" s="496"/>
      <c r="BI22" s="496"/>
      <c r="BJ22" s="497"/>
      <c r="BK22" s="497"/>
      <c r="BL22" s="497"/>
      <c r="BM22" s="497"/>
      <c r="BN22" s="497"/>
      <c r="BO22" s="497"/>
      <c r="BS22" s="243"/>
      <c r="BY22" s="244"/>
    </row>
    <row r="23" spans="2:77" s="241" customFormat="1" ht="18" customHeight="1">
      <c r="B23" s="599" t="s">
        <v>414</v>
      </c>
      <c r="C23" s="600"/>
      <c r="D23" s="600"/>
      <c r="E23" s="600"/>
      <c r="F23" s="600"/>
      <c r="G23" s="601"/>
      <c r="H23" s="743">
        <f>H18+H22</f>
        <v>123488200</v>
      </c>
      <c r="I23" s="744"/>
      <c r="J23" s="744"/>
      <c r="K23" s="744"/>
      <c r="L23" s="744"/>
      <c r="M23" s="745"/>
      <c r="N23" s="649">
        <f>N18+N22</f>
        <v>10235500</v>
      </c>
      <c r="O23" s="650"/>
      <c r="P23" s="650"/>
      <c r="Q23" s="650"/>
      <c r="R23" s="651"/>
      <c r="S23" s="649">
        <f>S18+S22</f>
        <v>110015000</v>
      </c>
      <c r="T23" s="650"/>
      <c r="U23" s="650"/>
      <c r="V23" s="650"/>
      <c r="W23" s="651"/>
      <c r="X23" s="528">
        <f t="shared" si="0"/>
        <v>120250500</v>
      </c>
      <c r="Y23" s="529"/>
      <c r="Z23" s="529"/>
      <c r="AA23" s="529"/>
      <c r="AB23" s="530"/>
      <c r="AC23" s="597">
        <f t="shared" si="3"/>
        <v>0.97378130056151113</v>
      </c>
      <c r="AD23" s="597"/>
      <c r="AE23" s="240"/>
      <c r="AF23" s="497" t="s">
        <v>333</v>
      </c>
      <c r="AG23" s="497"/>
      <c r="AH23" s="497"/>
      <c r="AI23" s="497"/>
      <c r="AJ23" s="497"/>
      <c r="AK23" s="590"/>
      <c r="AL23" s="590"/>
      <c r="AM23" s="590"/>
      <c r="AN23" s="590"/>
      <c r="AO23" s="590"/>
      <c r="AP23" s="590"/>
      <c r="AQ23" s="598"/>
      <c r="AR23" s="598"/>
      <c r="AS23" s="598"/>
      <c r="AT23" s="598"/>
      <c r="AU23" s="598"/>
      <c r="AV23" s="598"/>
      <c r="AW23" s="598"/>
      <c r="AX23" s="598"/>
      <c r="AY23" s="598"/>
      <c r="AZ23" s="598"/>
      <c r="BA23" s="598"/>
      <c r="BB23" s="598"/>
      <c r="BC23" s="598">
        <f t="shared" si="4"/>
        <v>0</v>
      </c>
      <c r="BD23" s="598"/>
      <c r="BE23" s="598"/>
      <c r="BF23" s="598"/>
      <c r="BG23" s="598"/>
      <c r="BH23" s="598"/>
      <c r="BI23" s="598"/>
      <c r="BJ23" s="590"/>
      <c r="BK23" s="590"/>
      <c r="BL23" s="590"/>
      <c r="BM23" s="590"/>
      <c r="BN23" s="590"/>
      <c r="BO23" s="590"/>
      <c r="BS23" s="245"/>
      <c r="BY23" s="244"/>
    </row>
    <row r="24" spans="2:77" s="241" customFormat="1" ht="18" customHeight="1">
      <c r="B24" s="612" t="s">
        <v>413</v>
      </c>
      <c r="C24" s="613"/>
      <c r="D24" s="590" t="s">
        <v>415</v>
      </c>
      <c r="E24" s="590"/>
      <c r="F24" s="590"/>
      <c r="G24" s="590"/>
      <c r="H24" s="618">
        <v>283254</v>
      </c>
      <c r="I24" s="619"/>
      <c r="J24" s="619"/>
      <c r="K24" s="619"/>
      <c r="L24" s="619"/>
      <c r="M24" s="620"/>
      <c r="N24" s="603">
        <f>5000+31220+20570</f>
        <v>56790</v>
      </c>
      <c r="O24" s="604"/>
      <c r="P24" s="604"/>
      <c r="Q24" s="604"/>
      <c r="R24" s="605"/>
      <c r="S24" s="646"/>
      <c r="T24" s="647"/>
      <c r="U24" s="647"/>
      <c r="V24" s="647"/>
      <c r="W24" s="648"/>
      <c r="X24" s="603">
        <f t="shared" si="0"/>
        <v>56790</v>
      </c>
      <c r="Y24" s="604"/>
      <c r="Z24" s="604"/>
      <c r="AA24" s="604"/>
      <c r="AB24" s="605"/>
      <c r="AC24" s="597">
        <f t="shared" si="3"/>
        <v>0.20049143171852823</v>
      </c>
      <c r="AD24" s="597"/>
      <c r="AE24" s="240"/>
      <c r="AF24" s="497"/>
      <c r="AG24" s="497"/>
      <c r="AH24" s="497"/>
      <c r="AI24" s="497"/>
      <c r="AJ24" s="497"/>
      <c r="AK24" s="591"/>
      <c r="AL24" s="592"/>
      <c r="AM24" s="592"/>
      <c r="AN24" s="592"/>
      <c r="AO24" s="592"/>
      <c r="AP24" s="593"/>
      <c r="AQ24" s="492"/>
      <c r="AR24" s="493"/>
      <c r="AS24" s="493"/>
      <c r="AT24" s="493"/>
      <c r="AU24" s="493"/>
      <c r="AV24" s="494"/>
      <c r="AW24" s="492"/>
      <c r="AX24" s="493"/>
      <c r="AY24" s="493"/>
      <c r="AZ24" s="493"/>
      <c r="BA24" s="493"/>
      <c r="BB24" s="494"/>
      <c r="BC24" s="492">
        <f>AQ24-AW24</f>
        <v>0</v>
      </c>
      <c r="BD24" s="493"/>
      <c r="BE24" s="493"/>
      <c r="BF24" s="493"/>
      <c r="BG24" s="493"/>
      <c r="BH24" s="493"/>
      <c r="BI24" s="494"/>
      <c r="BJ24" s="495"/>
      <c r="BK24" s="495"/>
      <c r="BL24" s="495"/>
      <c r="BM24" s="495"/>
      <c r="BN24" s="495"/>
      <c r="BO24" s="495"/>
      <c r="BS24" s="245"/>
      <c r="BY24" s="244"/>
    </row>
    <row r="25" spans="2:77" s="241" customFormat="1" ht="18" customHeight="1">
      <c r="B25" s="614"/>
      <c r="C25" s="615"/>
      <c r="D25" s="666" t="s">
        <v>417</v>
      </c>
      <c r="E25" s="666"/>
      <c r="F25" s="666"/>
      <c r="G25" s="666"/>
      <c r="H25" s="670"/>
      <c r="I25" s="671"/>
      <c r="J25" s="671"/>
      <c r="K25" s="671"/>
      <c r="L25" s="671"/>
      <c r="M25" s="672"/>
      <c r="N25" s="540">
        <v>150000</v>
      </c>
      <c r="O25" s="541"/>
      <c r="P25" s="541"/>
      <c r="Q25" s="541"/>
      <c r="R25" s="542"/>
      <c r="S25" s="548"/>
      <c r="T25" s="549"/>
      <c r="U25" s="549"/>
      <c r="V25" s="549"/>
      <c r="W25" s="550"/>
      <c r="X25" s="540">
        <f t="shared" si="0"/>
        <v>150000</v>
      </c>
      <c r="Y25" s="541"/>
      <c r="Z25" s="541"/>
      <c r="AA25" s="541"/>
      <c r="AB25" s="542"/>
      <c r="AC25" s="610">
        <f t="shared" ref="AC25" si="5">IF((H25=0),0,X25/H25)</f>
        <v>0</v>
      </c>
      <c r="AD25" s="611"/>
      <c r="AE25" s="240"/>
      <c r="AF25" s="497"/>
      <c r="AG25" s="497"/>
      <c r="AH25" s="497"/>
      <c r="AI25" s="497"/>
      <c r="AJ25" s="497"/>
      <c r="AK25" s="591"/>
      <c r="AL25" s="592"/>
      <c r="AM25" s="592"/>
      <c r="AN25" s="592"/>
      <c r="AO25" s="592"/>
      <c r="AP25" s="593"/>
      <c r="AQ25" s="492"/>
      <c r="AR25" s="493"/>
      <c r="AS25" s="493"/>
      <c r="AT25" s="493"/>
      <c r="AU25" s="493"/>
      <c r="AV25" s="494"/>
      <c r="AW25" s="492"/>
      <c r="AX25" s="493"/>
      <c r="AY25" s="493"/>
      <c r="AZ25" s="493"/>
      <c r="BA25" s="493"/>
      <c r="BB25" s="494"/>
      <c r="BC25" s="492">
        <f t="shared" si="4"/>
        <v>0</v>
      </c>
      <c r="BD25" s="493"/>
      <c r="BE25" s="493"/>
      <c r="BF25" s="493"/>
      <c r="BG25" s="493"/>
      <c r="BH25" s="493"/>
      <c r="BI25" s="494"/>
      <c r="BJ25" s="495"/>
      <c r="BK25" s="495"/>
      <c r="BL25" s="495"/>
      <c r="BM25" s="495"/>
      <c r="BN25" s="495"/>
      <c r="BO25" s="495"/>
      <c r="BS25" s="245"/>
      <c r="BY25" s="244"/>
    </row>
    <row r="26" spans="2:77" s="241" customFormat="1" ht="18" customHeight="1">
      <c r="B26" s="614"/>
      <c r="C26" s="615"/>
      <c r="D26" s="537" t="s">
        <v>418</v>
      </c>
      <c r="E26" s="538"/>
      <c r="F26" s="538"/>
      <c r="G26" s="539"/>
      <c r="H26" s="556"/>
      <c r="I26" s="557"/>
      <c r="J26" s="557"/>
      <c r="K26" s="557"/>
      <c r="L26" s="557"/>
      <c r="M26" s="558"/>
      <c r="N26" s="540"/>
      <c r="O26" s="541"/>
      <c r="P26" s="541"/>
      <c r="Q26" s="541"/>
      <c r="R26" s="542"/>
      <c r="S26" s="548"/>
      <c r="T26" s="549"/>
      <c r="U26" s="549"/>
      <c r="V26" s="549"/>
      <c r="W26" s="550"/>
      <c r="X26" s="540">
        <f t="shared" ref="X26" si="6">SUM(N26:W26)</f>
        <v>0</v>
      </c>
      <c r="Y26" s="541"/>
      <c r="Z26" s="541"/>
      <c r="AA26" s="541"/>
      <c r="AB26" s="542"/>
      <c r="AC26" s="610">
        <f t="shared" ref="AC26" si="7">IF((H26=0),0,X26/H26)</f>
        <v>0</v>
      </c>
      <c r="AD26" s="611"/>
      <c r="AE26" s="240"/>
      <c r="AF26" s="497"/>
      <c r="AG26" s="497"/>
      <c r="AH26" s="497"/>
      <c r="AI26" s="497"/>
      <c r="AJ26" s="497"/>
      <c r="AK26" s="495"/>
      <c r="AL26" s="495"/>
      <c r="AM26" s="495"/>
      <c r="AN26" s="495"/>
      <c r="AO26" s="495"/>
      <c r="AP26" s="495"/>
      <c r="AQ26" s="596"/>
      <c r="AR26" s="596"/>
      <c r="AS26" s="596"/>
      <c r="AT26" s="596"/>
      <c r="AU26" s="596"/>
      <c r="AV26" s="596"/>
      <c r="AW26" s="596"/>
      <c r="AX26" s="596"/>
      <c r="AY26" s="596"/>
      <c r="AZ26" s="596"/>
      <c r="BA26" s="596"/>
      <c r="BB26" s="596"/>
      <c r="BC26" s="596">
        <f>AQ26-AW26</f>
        <v>0</v>
      </c>
      <c r="BD26" s="596"/>
      <c r="BE26" s="596"/>
      <c r="BF26" s="596"/>
      <c r="BG26" s="596"/>
      <c r="BH26" s="596"/>
      <c r="BI26" s="596"/>
      <c r="BJ26" s="495"/>
      <c r="BK26" s="495"/>
      <c r="BL26" s="495"/>
      <c r="BM26" s="495"/>
      <c r="BN26" s="495"/>
      <c r="BO26" s="495"/>
      <c r="BS26" s="245"/>
    </row>
    <row r="27" spans="2:77" s="241" customFormat="1" ht="18" customHeight="1">
      <c r="B27" s="616"/>
      <c r="C27" s="617"/>
      <c r="D27" s="553"/>
      <c r="E27" s="554"/>
      <c r="F27" s="554"/>
      <c r="G27" s="555"/>
      <c r="H27" s="556"/>
      <c r="I27" s="557"/>
      <c r="J27" s="557"/>
      <c r="K27" s="557"/>
      <c r="L27" s="557"/>
      <c r="M27" s="558"/>
      <c r="N27" s="540"/>
      <c r="O27" s="541"/>
      <c r="P27" s="541"/>
      <c r="Q27" s="541"/>
      <c r="R27" s="542"/>
      <c r="S27" s="548"/>
      <c r="T27" s="549"/>
      <c r="U27" s="549"/>
      <c r="V27" s="549"/>
      <c r="W27" s="550"/>
      <c r="X27" s="540">
        <f t="shared" ref="X27" si="8">SUM(N27:W27)</f>
        <v>0</v>
      </c>
      <c r="Y27" s="541"/>
      <c r="Z27" s="541"/>
      <c r="AA27" s="541"/>
      <c r="AB27" s="542"/>
      <c r="AC27" s="602"/>
      <c r="AD27" s="602"/>
      <c r="AE27" s="240"/>
      <c r="AF27" s="497"/>
      <c r="AG27" s="497"/>
      <c r="AH27" s="497"/>
      <c r="AI27" s="497"/>
      <c r="AJ27" s="497"/>
      <c r="AK27" s="591"/>
      <c r="AL27" s="592"/>
      <c r="AM27" s="592"/>
      <c r="AN27" s="592"/>
      <c r="AO27" s="592"/>
      <c r="AP27" s="593"/>
      <c r="AQ27" s="492"/>
      <c r="AR27" s="493"/>
      <c r="AS27" s="493"/>
      <c r="AT27" s="493"/>
      <c r="AU27" s="493"/>
      <c r="AV27" s="494"/>
      <c r="AW27" s="492"/>
      <c r="AX27" s="493"/>
      <c r="AY27" s="493"/>
      <c r="AZ27" s="493"/>
      <c r="BA27" s="493"/>
      <c r="BB27" s="494"/>
      <c r="BC27" s="492">
        <f t="shared" si="4"/>
        <v>0</v>
      </c>
      <c r="BD27" s="493"/>
      <c r="BE27" s="493"/>
      <c r="BF27" s="493"/>
      <c r="BG27" s="493"/>
      <c r="BH27" s="493"/>
      <c r="BI27" s="494"/>
      <c r="BJ27" s="495"/>
      <c r="BK27" s="495"/>
      <c r="BL27" s="495"/>
      <c r="BM27" s="495"/>
      <c r="BN27" s="495"/>
      <c r="BO27" s="495"/>
      <c r="BS27" s="245"/>
      <c r="BY27" s="243"/>
    </row>
    <row r="28" spans="2:77" s="241" customFormat="1" ht="18" customHeight="1">
      <c r="B28" s="606" t="s">
        <v>488</v>
      </c>
      <c r="C28" s="607"/>
      <c r="D28" s="607"/>
      <c r="E28" s="607"/>
      <c r="F28" s="607"/>
      <c r="G28" s="608"/>
      <c r="H28" s="639">
        <f>SUM(H24:M27)</f>
        <v>283254</v>
      </c>
      <c r="I28" s="639"/>
      <c r="J28" s="639"/>
      <c r="K28" s="639"/>
      <c r="L28" s="639"/>
      <c r="M28" s="639"/>
      <c r="N28" s="551">
        <f>SUM(N24:R27)</f>
        <v>206790</v>
      </c>
      <c r="O28" s="551"/>
      <c r="P28" s="551"/>
      <c r="Q28" s="551"/>
      <c r="R28" s="551"/>
      <c r="S28" s="552">
        <f>SUM(S24:W27)</f>
        <v>0</v>
      </c>
      <c r="T28" s="552"/>
      <c r="U28" s="552"/>
      <c r="V28" s="552"/>
      <c r="W28" s="552"/>
      <c r="X28" s="552">
        <f>SUM(X24:AB27)</f>
        <v>206790</v>
      </c>
      <c r="Y28" s="552"/>
      <c r="Z28" s="552"/>
      <c r="AA28" s="552"/>
      <c r="AB28" s="552"/>
      <c r="AC28" s="623">
        <f>IF((H28=0),0,X28/H28)</f>
        <v>0.73005147323603548</v>
      </c>
      <c r="AD28" s="623"/>
      <c r="AE28" s="240"/>
      <c r="AF28" s="497"/>
      <c r="AG28" s="497"/>
      <c r="AH28" s="497"/>
      <c r="AI28" s="497"/>
      <c r="AJ28" s="497"/>
      <c r="AK28" s="594"/>
      <c r="AL28" s="594"/>
      <c r="AM28" s="594"/>
      <c r="AN28" s="594"/>
      <c r="AO28" s="594"/>
      <c r="AP28" s="594"/>
      <c r="AQ28" s="595"/>
      <c r="AR28" s="595"/>
      <c r="AS28" s="595"/>
      <c r="AT28" s="595"/>
      <c r="AU28" s="595"/>
      <c r="AV28" s="595"/>
      <c r="AW28" s="595"/>
      <c r="AX28" s="595"/>
      <c r="AY28" s="595"/>
      <c r="AZ28" s="595"/>
      <c r="BA28" s="595"/>
      <c r="BB28" s="595"/>
      <c r="BC28" s="595"/>
      <c r="BD28" s="595"/>
      <c r="BE28" s="595"/>
      <c r="BF28" s="595"/>
      <c r="BG28" s="595"/>
      <c r="BH28" s="595"/>
      <c r="BI28" s="595"/>
      <c r="BJ28" s="594"/>
      <c r="BK28" s="594"/>
      <c r="BL28" s="594"/>
      <c r="BM28" s="594"/>
      <c r="BN28" s="594"/>
      <c r="BO28" s="594"/>
      <c r="BS28" s="245"/>
    </row>
    <row r="29" spans="2:77" s="241" customFormat="1" ht="18" customHeight="1">
      <c r="B29" s="737" t="s">
        <v>382</v>
      </c>
      <c r="C29" s="738"/>
      <c r="D29" s="738"/>
      <c r="E29" s="738"/>
      <c r="F29" s="738"/>
      <c r="G29" s="739"/>
      <c r="H29" s="636">
        <v>0</v>
      </c>
      <c r="I29" s="637"/>
      <c r="J29" s="637"/>
      <c r="K29" s="637"/>
      <c r="L29" s="637"/>
      <c r="M29" s="638"/>
      <c r="N29" s="640"/>
      <c r="O29" s="641"/>
      <c r="P29" s="641"/>
      <c r="Q29" s="641"/>
      <c r="R29" s="642"/>
      <c r="S29" s="640">
        <v>0</v>
      </c>
      <c r="T29" s="641"/>
      <c r="U29" s="641"/>
      <c r="V29" s="641"/>
      <c r="W29" s="642"/>
      <c r="X29" s="543">
        <f>SUM(N29:W29)</f>
        <v>0</v>
      </c>
      <c r="Y29" s="544"/>
      <c r="Z29" s="544"/>
      <c r="AA29" s="544"/>
      <c r="AB29" s="545"/>
      <c r="AC29" s="609">
        <f>IF((H29=0),0,X29/H29)</f>
        <v>0</v>
      </c>
      <c r="AD29" s="609"/>
      <c r="AE29" s="240"/>
      <c r="AF29" s="497"/>
      <c r="AG29" s="497"/>
      <c r="AH29" s="497"/>
      <c r="AI29" s="497"/>
      <c r="AJ29" s="497"/>
      <c r="AK29" s="497" t="s">
        <v>332</v>
      </c>
      <c r="AL29" s="497"/>
      <c r="AM29" s="497"/>
      <c r="AN29" s="497"/>
      <c r="AO29" s="497"/>
      <c r="AP29" s="497"/>
      <c r="AQ29" s="496">
        <f>SUM(AQ23:AV28)</f>
        <v>0</v>
      </c>
      <c r="AR29" s="496"/>
      <c r="AS29" s="496"/>
      <c r="AT29" s="496"/>
      <c r="AU29" s="496"/>
      <c r="AV29" s="496"/>
      <c r="AW29" s="496">
        <f>SUM(AW23:BB28)</f>
        <v>0</v>
      </c>
      <c r="AX29" s="496"/>
      <c r="AY29" s="496"/>
      <c r="AZ29" s="496"/>
      <c r="BA29" s="496"/>
      <c r="BB29" s="496"/>
      <c r="BC29" s="496">
        <f>SUM(BC23:BI28)</f>
        <v>0</v>
      </c>
      <c r="BD29" s="496"/>
      <c r="BE29" s="496"/>
      <c r="BF29" s="496"/>
      <c r="BG29" s="496"/>
      <c r="BH29" s="496"/>
      <c r="BI29" s="496"/>
      <c r="BJ29" s="497"/>
      <c r="BK29" s="497"/>
      <c r="BL29" s="497"/>
      <c r="BM29" s="497"/>
      <c r="BN29" s="497"/>
      <c r="BO29" s="497"/>
      <c r="BS29" s="245"/>
    </row>
    <row r="30" spans="2:77" s="241" customFormat="1" ht="18" customHeight="1">
      <c r="B30" s="725" t="s">
        <v>383</v>
      </c>
      <c r="C30" s="726"/>
      <c r="D30" s="726"/>
      <c r="E30" s="726"/>
      <c r="F30" s="726"/>
      <c r="G30" s="727"/>
      <c r="H30" s="531">
        <f>H23+H28+H29</f>
        <v>123771454</v>
      </c>
      <c r="I30" s="532"/>
      <c r="J30" s="532"/>
      <c r="K30" s="532"/>
      <c r="L30" s="532"/>
      <c r="M30" s="533"/>
      <c r="N30" s="534">
        <f>N28+N23+N29</f>
        <v>10442290</v>
      </c>
      <c r="O30" s="535"/>
      <c r="P30" s="535"/>
      <c r="Q30" s="535"/>
      <c r="R30" s="536"/>
      <c r="S30" s="534">
        <f>S28+S23+S29</f>
        <v>110015000</v>
      </c>
      <c r="T30" s="535"/>
      <c r="U30" s="535"/>
      <c r="V30" s="535"/>
      <c r="W30" s="536"/>
      <c r="X30" s="534">
        <f t="shared" si="0"/>
        <v>120457290</v>
      </c>
      <c r="Y30" s="535"/>
      <c r="Z30" s="535"/>
      <c r="AA30" s="535"/>
      <c r="AB30" s="536"/>
      <c r="AC30" s="622">
        <f t="shared" si="3"/>
        <v>0.97322351888990499</v>
      </c>
      <c r="AD30" s="622"/>
      <c r="AE30" s="240"/>
      <c r="AF30" s="252" t="s">
        <v>318</v>
      </c>
      <c r="AG30" s="253"/>
      <c r="AH30" s="253"/>
      <c r="AI30" s="253"/>
      <c r="AJ30" s="253"/>
      <c r="AK30" s="253"/>
      <c r="AL30" s="253"/>
      <c r="AM30" s="253"/>
      <c r="AN30" s="253"/>
      <c r="AO30" s="253"/>
      <c r="AP30" s="254"/>
      <c r="AQ30" s="254"/>
      <c r="AR30" s="254"/>
      <c r="AS30" s="254"/>
      <c r="AT30" s="254"/>
      <c r="AU30" s="254"/>
      <c r="AV30" s="254"/>
      <c r="AW30" s="254"/>
      <c r="AX30" s="254"/>
      <c r="AY30" s="254"/>
      <c r="AZ30" s="255"/>
      <c r="BA30" s="253"/>
      <c r="BB30" s="253"/>
      <c r="BC30" s="253"/>
      <c r="BD30" s="253"/>
      <c r="BE30" s="253"/>
      <c r="BF30" s="253"/>
      <c r="BG30" s="253"/>
      <c r="BH30" s="253"/>
      <c r="BI30" s="253"/>
      <c r="BJ30" s="253"/>
      <c r="BK30" s="253"/>
      <c r="BL30" s="256"/>
      <c r="BM30" s="256"/>
      <c r="BN30" s="256"/>
      <c r="BO30" s="256"/>
    </row>
    <row r="31" spans="2:77" s="241" customFormat="1" ht="18" customHeight="1">
      <c r="B31" s="599" t="s">
        <v>517</v>
      </c>
      <c r="C31" s="600"/>
      <c r="D31" s="600"/>
      <c r="E31" s="600"/>
      <c r="F31" s="600"/>
      <c r="G31" s="601"/>
      <c r="H31" s="528">
        <f>11151316</f>
        <v>11151316</v>
      </c>
      <c r="I31" s="529"/>
      <c r="J31" s="529"/>
      <c r="K31" s="529"/>
      <c r="L31" s="529"/>
      <c r="M31" s="530"/>
      <c r="N31" s="528"/>
      <c r="O31" s="529"/>
      <c r="P31" s="529"/>
      <c r="Q31" s="529"/>
      <c r="R31" s="530"/>
      <c r="S31" s="528">
        <v>11151316</v>
      </c>
      <c r="T31" s="529"/>
      <c r="U31" s="529"/>
      <c r="V31" s="529"/>
      <c r="W31" s="530"/>
      <c r="X31" s="559">
        <f t="shared" ref="X31" si="9">SUM(N31:W31)</f>
        <v>11151316</v>
      </c>
      <c r="Y31" s="560"/>
      <c r="Z31" s="560"/>
      <c r="AA31" s="560"/>
      <c r="AB31" s="561"/>
      <c r="AC31" s="597">
        <f t="shared" si="3"/>
        <v>1</v>
      </c>
      <c r="AD31" s="597"/>
      <c r="AE31" s="240"/>
      <c r="AF31" s="587" t="s">
        <v>335</v>
      </c>
      <c r="AG31" s="491"/>
      <c r="AH31" s="491"/>
      <c r="AI31" s="491"/>
      <c r="AJ31" s="491"/>
      <c r="AK31" s="588"/>
      <c r="AL31" s="588"/>
      <c r="AM31" s="588"/>
      <c r="AN31" s="588"/>
      <c r="AO31" s="588"/>
      <c r="AP31" s="588"/>
      <c r="AQ31" s="589"/>
      <c r="AR31" s="589"/>
      <c r="AS31" s="589"/>
      <c r="AT31" s="589"/>
      <c r="AU31" s="589"/>
      <c r="AV31" s="589"/>
      <c r="AW31" s="589"/>
      <c r="AX31" s="589"/>
      <c r="AY31" s="589"/>
      <c r="AZ31" s="589"/>
      <c r="BA31" s="589"/>
      <c r="BB31" s="589"/>
      <c r="BC31" s="589">
        <f>AQ31-AW31</f>
        <v>0</v>
      </c>
      <c r="BD31" s="589"/>
      <c r="BE31" s="589"/>
      <c r="BF31" s="589"/>
      <c r="BG31" s="589"/>
      <c r="BH31" s="589"/>
      <c r="BI31" s="589"/>
      <c r="BJ31" s="590"/>
      <c r="BK31" s="590"/>
      <c r="BL31" s="590"/>
      <c r="BM31" s="590"/>
      <c r="BN31" s="590"/>
      <c r="BO31" s="590"/>
      <c r="BS31" s="243"/>
    </row>
    <row r="32" spans="2:77" s="241" customFormat="1" ht="18" customHeight="1">
      <c r="B32" s="547" t="s">
        <v>384</v>
      </c>
      <c r="C32" s="547"/>
      <c r="D32" s="547"/>
      <c r="E32" s="547"/>
      <c r="F32" s="547"/>
      <c r="G32" s="547"/>
      <c r="H32" s="546">
        <f>H30+H31</f>
        <v>134922770</v>
      </c>
      <c r="I32" s="546"/>
      <c r="J32" s="546"/>
      <c r="K32" s="546"/>
      <c r="L32" s="546"/>
      <c r="M32" s="546"/>
      <c r="N32" s="546">
        <f>N30</f>
        <v>10442290</v>
      </c>
      <c r="O32" s="546"/>
      <c r="P32" s="546"/>
      <c r="Q32" s="546"/>
      <c r="R32" s="546"/>
      <c r="S32" s="546">
        <f>S30+S31</f>
        <v>121166316</v>
      </c>
      <c r="T32" s="546"/>
      <c r="U32" s="546"/>
      <c r="V32" s="546"/>
      <c r="W32" s="546"/>
      <c r="X32" s="546">
        <f>X30+X31</f>
        <v>131608606</v>
      </c>
      <c r="Y32" s="546"/>
      <c r="Z32" s="546"/>
      <c r="AA32" s="546"/>
      <c r="AB32" s="546"/>
      <c r="AC32" s="572">
        <f t="shared" si="3"/>
        <v>0.97543658494411289</v>
      </c>
      <c r="AD32" s="572"/>
      <c r="AE32" s="240"/>
      <c r="AF32" s="491"/>
      <c r="AG32" s="491"/>
      <c r="AH32" s="491"/>
      <c r="AI32" s="491"/>
      <c r="AJ32" s="491"/>
      <c r="AK32" s="583"/>
      <c r="AL32" s="583"/>
      <c r="AM32" s="583"/>
      <c r="AN32" s="583"/>
      <c r="AO32" s="583"/>
      <c r="AP32" s="583"/>
      <c r="AQ32" s="582"/>
      <c r="AR32" s="582"/>
      <c r="AS32" s="582"/>
      <c r="AT32" s="582"/>
      <c r="AU32" s="582"/>
      <c r="AV32" s="582"/>
      <c r="AW32" s="582"/>
      <c r="AX32" s="582"/>
      <c r="AY32" s="582"/>
      <c r="AZ32" s="582"/>
      <c r="BA32" s="582"/>
      <c r="BB32" s="582"/>
      <c r="BC32" s="582">
        <f>AQ32-AW32</f>
        <v>0</v>
      </c>
      <c r="BD32" s="582"/>
      <c r="BE32" s="582"/>
      <c r="BF32" s="582"/>
      <c r="BG32" s="582"/>
      <c r="BH32" s="582"/>
      <c r="BI32" s="582"/>
      <c r="BJ32" s="583"/>
      <c r="BK32" s="583"/>
      <c r="BL32" s="583"/>
      <c r="BM32" s="583"/>
      <c r="BN32" s="583"/>
      <c r="BO32" s="583"/>
    </row>
    <row r="33" spans="2:67" ht="18" customHeight="1">
      <c r="B33" s="524" t="s">
        <v>385</v>
      </c>
      <c r="C33" s="525"/>
      <c r="D33" s="525"/>
      <c r="E33" s="525"/>
      <c r="F33" s="525"/>
      <c r="G33" s="526"/>
      <c r="H33" s="527">
        <f>H32/W4</f>
        <v>0.68909251055783272</v>
      </c>
      <c r="I33" s="527"/>
      <c r="J33" s="527"/>
      <c r="K33" s="527"/>
      <c r="L33" s="527"/>
      <c r="M33" s="527"/>
      <c r="N33" s="566"/>
      <c r="O33" s="567"/>
      <c r="P33" s="567"/>
      <c r="Q33" s="567"/>
      <c r="R33" s="567"/>
      <c r="S33" s="570"/>
      <c r="T33" s="571"/>
      <c r="U33" s="571"/>
      <c r="V33" s="571"/>
      <c r="W33" s="571"/>
      <c r="X33" s="568">
        <f>X32/W4</f>
        <v>0.6721660452090974</v>
      </c>
      <c r="Y33" s="568"/>
      <c r="Z33" s="568"/>
      <c r="AA33" s="568"/>
      <c r="AB33" s="568"/>
      <c r="AC33" s="569"/>
      <c r="AD33" s="569"/>
      <c r="AE33" s="28"/>
      <c r="AF33" s="491"/>
      <c r="AG33" s="491"/>
      <c r="AH33" s="491"/>
      <c r="AI33" s="491"/>
      <c r="AJ33" s="491"/>
      <c r="AK33" s="581"/>
      <c r="AL33" s="581"/>
      <c r="AM33" s="581"/>
      <c r="AN33" s="581"/>
      <c r="AO33" s="581"/>
      <c r="AP33" s="581"/>
      <c r="AQ33" s="586"/>
      <c r="AR33" s="586"/>
      <c r="AS33" s="586"/>
      <c r="AT33" s="586"/>
      <c r="AU33" s="586"/>
      <c r="AV33" s="586"/>
      <c r="AW33" s="586"/>
      <c r="AX33" s="586"/>
      <c r="AY33" s="586"/>
      <c r="AZ33" s="586"/>
      <c r="BA33" s="586"/>
      <c r="BB33" s="586"/>
      <c r="BC33" s="586"/>
      <c r="BD33" s="586"/>
      <c r="BE33" s="586"/>
      <c r="BF33" s="586"/>
      <c r="BG33" s="586"/>
      <c r="BH33" s="586"/>
      <c r="BI33" s="586"/>
      <c r="BJ33" s="581"/>
      <c r="BK33" s="581"/>
      <c r="BL33" s="581"/>
      <c r="BM33" s="581"/>
      <c r="BN33" s="581"/>
      <c r="BO33" s="581"/>
    </row>
    <row r="34" spans="2:67" ht="18" customHeight="1">
      <c r="B34" s="38" t="s">
        <v>478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564">
        <f>S32</f>
        <v>121166316</v>
      </c>
      <c r="P34" s="565"/>
      <c r="Q34" s="565"/>
      <c r="R34" s="565"/>
      <c r="S34" s="565"/>
      <c r="T34" s="565"/>
      <c r="U34" s="565"/>
      <c r="V34" s="266" t="s">
        <v>72</v>
      </c>
      <c r="W34" s="564"/>
      <c r="X34" s="565"/>
      <c r="Y34" s="565"/>
      <c r="Z34" s="565"/>
      <c r="AA34" s="565"/>
      <c r="AB34" s="565"/>
      <c r="AC34" s="565"/>
      <c r="AD34" s="35"/>
      <c r="AE34" s="28"/>
      <c r="AF34" s="491"/>
      <c r="AG34" s="491"/>
      <c r="AH34" s="491"/>
      <c r="AI34" s="491"/>
      <c r="AJ34" s="491"/>
      <c r="AK34" s="584" t="s">
        <v>332</v>
      </c>
      <c r="AL34" s="584"/>
      <c r="AM34" s="584"/>
      <c r="AN34" s="584"/>
      <c r="AO34" s="584"/>
      <c r="AP34" s="584"/>
      <c r="AQ34" s="585">
        <f>SUM(AQ31:AV33)</f>
        <v>0</v>
      </c>
      <c r="AR34" s="585"/>
      <c r="AS34" s="585"/>
      <c r="AT34" s="585"/>
      <c r="AU34" s="585"/>
      <c r="AV34" s="585"/>
      <c r="AW34" s="585">
        <f>SUM(AW31:BB33)</f>
        <v>0</v>
      </c>
      <c r="AX34" s="585"/>
      <c r="AY34" s="585"/>
      <c r="AZ34" s="585"/>
      <c r="BA34" s="585"/>
      <c r="BB34" s="585"/>
      <c r="BC34" s="585">
        <f>SUM(BC31:BI33)</f>
        <v>0</v>
      </c>
      <c r="BD34" s="585"/>
      <c r="BE34" s="585"/>
      <c r="BF34" s="585"/>
      <c r="BG34" s="585"/>
      <c r="BH34" s="585"/>
      <c r="BI34" s="585"/>
      <c r="BJ34" s="584"/>
      <c r="BK34" s="584"/>
      <c r="BL34" s="584"/>
      <c r="BM34" s="584"/>
      <c r="BN34" s="584"/>
      <c r="BO34" s="584"/>
    </row>
    <row r="35" spans="2:67" ht="18" customHeight="1">
      <c r="B35" s="40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 t="s">
        <v>73</v>
      </c>
      <c r="O35" s="576">
        <f>O34-W34</f>
        <v>121166316</v>
      </c>
      <c r="P35" s="576"/>
      <c r="Q35" s="576"/>
      <c r="R35" s="576"/>
      <c r="S35" s="576"/>
      <c r="T35" s="576"/>
      <c r="U35" s="576"/>
      <c r="V35" s="576"/>
      <c r="W35" s="42"/>
      <c r="X35" s="42"/>
      <c r="Y35" s="42"/>
      <c r="Z35" s="42"/>
      <c r="AA35" s="42"/>
      <c r="AB35" s="425"/>
      <c r="AC35" s="36"/>
      <c r="AD35" s="37"/>
      <c r="AE35" s="28"/>
      <c r="AF35" s="524" t="s">
        <v>334</v>
      </c>
      <c r="AG35" s="525"/>
      <c r="AH35" s="525"/>
      <c r="AI35" s="525"/>
      <c r="AJ35" s="525"/>
      <c r="AK35" s="525"/>
      <c r="AL35" s="525"/>
      <c r="AM35" s="525"/>
      <c r="AN35" s="525"/>
      <c r="AO35" s="525"/>
      <c r="AP35" s="525"/>
      <c r="AQ35" s="573">
        <f>AQ29+AQ34</f>
        <v>0</v>
      </c>
      <c r="AR35" s="573"/>
      <c r="AS35" s="573"/>
      <c r="AT35" s="573"/>
      <c r="AU35" s="573"/>
      <c r="AV35" s="573"/>
      <c r="AW35" s="573">
        <f>AW29+AW34</f>
        <v>0</v>
      </c>
      <c r="AX35" s="573"/>
      <c r="AY35" s="573"/>
      <c r="AZ35" s="573"/>
      <c r="BA35" s="573"/>
      <c r="BB35" s="573"/>
      <c r="BC35" s="573">
        <f>BC29+BC34</f>
        <v>0</v>
      </c>
      <c r="BD35" s="573"/>
      <c r="BE35" s="573"/>
      <c r="BF35" s="573"/>
      <c r="BG35" s="573"/>
      <c r="BH35" s="573"/>
      <c r="BI35" s="573"/>
      <c r="BJ35" s="491"/>
      <c r="BK35" s="491"/>
      <c r="BL35" s="491"/>
      <c r="BM35" s="491"/>
      <c r="BN35" s="491"/>
      <c r="BO35" s="491"/>
    </row>
    <row r="36" spans="2:67" ht="12.75" customHeight="1">
      <c r="E36" s="574"/>
      <c r="F36" s="574"/>
      <c r="G36" s="574"/>
      <c r="H36" s="574"/>
      <c r="I36" s="574"/>
      <c r="M36" s="574"/>
      <c r="N36" s="577"/>
      <c r="O36" s="577"/>
      <c r="P36" s="577"/>
      <c r="T36" s="574"/>
      <c r="U36" s="577"/>
      <c r="V36" s="577"/>
      <c r="W36" s="577"/>
      <c r="AA36" s="574"/>
      <c r="AB36" s="577"/>
      <c r="AC36" s="577"/>
      <c r="AD36" s="577"/>
      <c r="AG36" s="269"/>
      <c r="AI36" s="575"/>
      <c r="AJ36" s="575"/>
      <c r="AK36" s="575"/>
      <c r="AL36" s="575"/>
      <c r="AR36" s="575"/>
      <c r="AS36" s="575"/>
      <c r="AT36" s="575"/>
      <c r="AU36" s="575"/>
      <c r="BA36" s="578"/>
      <c r="BB36" s="578"/>
      <c r="BC36" s="575"/>
      <c r="BD36" s="575"/>
      <c r="BE36" s="575"/>
      <c r="BF36" s="575"/>
    </row>
    <row r="37" spans="2:67" ht="15.75" customHeight="1">
      <c r="AQ37" s="580"/>
      <c r="AR37" s="580"/>
      <c r="AS37" s="580"/>
      <c r="AT37" s="580"/>
      <c r="AU37" s="580"/>
      <c r="AV37" s="580"/>
      <c r="AW37" s="579"/>
      <c r="AX37" s="579"/>
      <c r="AY37" s="579"/>
      <c r="AZ37" s="579"/>
      <c r="BA37" s="579"/>
      <c r="BB37" s="579"/>
      <c r="BC37" s="579"/>
      <c r="BD37" s="265"/>
      <c r="BE37" s="265"/>
      <c r="BF37" s="265"/>
      <c r="BG37" s="265"/>
    </row>
    <row r="38" spans="2:67" ht="15.75" customHeight="1">
      <c r="I38" s="563"/>
      <c r="J38" s="563"/>
      <c r="K38" s="563"/>
      <c r="L38" s="563"/>
      <c r="M38" s="563"/>
      <c r="N38" s="563"/>
    </row>
    <row r="39" spans="2:67" ht="15.75" customHeight="1">
      <c r="I39" s="562"/>
      <c r="J39" s="563"/>
      <c r="K39" s="563"/>
      <c r="L39" s="563"/>
      <c r="M39" s="563"/>
      <c r="N39" s="563"/>
    </row>
  </sheetData>
  <mergeCells count="333">
    <mergeCell ref="T4:V4"/>
    <mergeCell ref="T5:V5"/>
    <mergeCell ref="B9:P9"/>
    <mergeCell ref="AC11:AD12"/>
    <mergeCell ref="H25:M25"/>
    <mergeCell ref="S22:W22"/>
    <mergeCell ref="N20:R20"/>
    <mergeCell ref="X17:AB17"/>
    <mergeCell ref="X18:AB18"/>
    <mergeCell ref="B23:G23"/>
    <mergeCell ref="H23:M23"/>
    <mergeCell ref="N23:R23"/>
    <mergeCell ref="S24:W24"/>
    <mergeCell ref="S18:W18"/>
    <mergeCell ref="X19:AB19"/>
    <mergeCell ref="X22:AB22"/>
    <mergeCell ref="H17:M17"/>
    <mergeCell ref="D24:G24"/>
    <mergeCell ref="X13:AB13"/>
    <mergeCell ref="N11:AB11"/>
    <mergeCell ref="B13:C17"/>
    <mergeCell ref="B19:C21"/>
    <mergeCell ref="H13:M13"/>
    <mergeCell ref="H14:M14"/>
    <mergeCell ref="AJ7:AL7"/>
    <mergeCell ref="AM7:AR7"/>
    <mergeCell ref="B30:G30"/>
    <mergeCell ref="B31:G31"/>
    <mergeCell ref="BH7:BK9"/>
    <mergeCell ref="BL6:BO6"/>
    <mergeCell ref="BL7:BO9"/>
    <mergeCell ref="W8:AB8"/>
    <mergeCell ref="W9:AB9"/>
    <mergeCell ref="Q8:S9"/>
    <mergeCell ref="T8:V8"/>
    <mergeCell ref="T9:V9"/>
    <mergeCell ref="AC7:AI7"/>
    <mergeCell ref="AC8:AI8"/>
    <mergeCell ref="AC9:AI9"/>
    <mergeCell ref="Q6:S7"/>
    <mergeCell ref="T6:V6"/>
    <mergeCell ref="T7:V7"/>
    <mergeCell ref="W6:AB6"/>
    <mergeCell ref="W7:AB7"/>
    <mergeCell ref="BG6:BG9"/>
    <mergeCell ref="BH6:BK6"/>
    <mergeCell ref="AX7:AZ9"/>
    <mergeCell ref="B29:G29"/>
    <mergeCell ref="W3:AB3"/>
    <mergeCell ref="W4:AB4"/>
    <mergeCell ref="AC3:AI3"/>
    <mergeCell ref="AC6:AI6"/>
    <mergeCell ref="T3:V3"/>
    <mergeCell ref="AJ5:AL5"/>
    <mergeCell ref="AM5:AR5"/>
    <mergeCell ref="BD2:BF2"/>
    <mergeCell ref="AF1:AK2"/>
    <mergeCell ref="AX6:AZ6"/>
    <mergeCell ref="AX3:AZ5"/>
    <mergeCell ref="BA3:BC5"/>
    <mergeCell ref="BD3:BF5"/>
    <mergeCell ref="B1:AD2"/>
    <mergeCell ref="AM3:AR3"/>
    <mergeCell ref="AJ3:AL3"/>
    <mergeCell ref="AJ4:AL4"/>
    <mergeCell ref="AM4:AR4"/>
    <mergeCell ref="AJ6:AL6"/>
    <mergeCell ref="AM6:AR6"/>
    <mergeCell ref="AC4:AI4"/>
    <mergeCell ref="AC5:AI5"/>
    <mergeCell ref="W5:AB5"/>
    <mergeCell ref="B4:P5"/>
    <mergeCell ref="BA7:BC9"/>
    <mergeCell ref="BD7:BF9"/>
    <mergeCell ref="BA6:BC6"/>
    <mergeCell ref="BD6:BF6"/>
    <mergeCell ref="AS9:AU9"/>
    <mergeCell ref="AS8:AU8"/>
    <mergeCell ref="AW2:AW5"/>
    <mergeCell ref="AW6:AW9"/>
    <mergeCell ref="AS3:AU3"/>
    <mergeCell ref="AS4:AU4"/>
    <mergeCell ref="AS5:AU5"/>
    <mergeCell ref="AS6:AU6"/>
    <mergeCell ref="AS7:AU7"/>
    <mergeCell ref="BC18:BI18"/>
    <mergeCell ref="BJ19:BO19"/>
    <mergeCell ref="BM16:BO16"/>
    <mergeCell ref="AW15:BC15"/>
    <mergeCell ref="BD16:BI16"/>
    <mergeCell ref="BJ11:BL12"/>
    <mergeCell ref="BK10:BO10"/>
    <mergeCell ref="BM11:BO12"/>
    <mergeCell ref="AW18:BB18"/>
    <mergeCell ref="AW19:BB19"/>
    <mergeCell ref="BJ18:BO18"/>
    <mergeCell ref="BJ16:BL16"/>
    <mergeCell ref="BD11:BI12"/>
    <mergeCell ref="BC19:BI19"/>
    <mergeCell ref="AF16:BC16"/>
    <mergeCell ref="AK18:AP18"/>
    <mergeCell ref="AQ18:AV18"/>
    <mergeCell ref="AP15:AV15"/>
    <mergeCell ref="AF15:AH15"/>
    <mergeCell ref="AW11:BC12"/>
    <mergeCell ref="AP14:AV14"/>
    <mergeCell ref="AP13:AV13"/>
    <mergeCell ref="AP11:AV12"/>
    <mergeCell ref="AF18:AJ18"/>
    <mergeCell ref="AI11:AO12"/>
    <mergeCell ref="X12:AB12"/>
    <mergeCell ref="N12:R12"/>
    <mergeCell ref="S14:W14"/>
    <mergeCell ref="AF14:AH14"/>
    <mergeCell ref="AC13:AD13"/>
    <mergeCell ref="AF13:AH13"/>
    <mergeCell ref="AI13:AO15"/>
    <mergeCell ref="D25:G25"/>
    <mergeCell ref="B11:G12"/>
    <mergeCell ref="S12:W12"/>
    <mergeCell ref="H21:M21"/>
    <mergeCell ref="D20:G20"/>
    <mergeCell ref="H20:M20"/>
    <mergeCell ref="D19:G19"/>
    <mergeCell ref="H19:M19"/>
    <mergeCell ref="N17:R17"/>
    <mergeCell ref="B18:G18"/>
    <mergeCell ref="D21:G21"/>
    <mergeCell ref="H15:M15"/>
    <mergeCell ref="H16:M16"/>
    <mergeCell ref="S15:W15"/>
    <mergeCell ref="S16:W16"/>
    <mergeCell ref="D17:G17"/>
    <mergeCell ref="AF11:AH12"/>
    <mergeCell ref="H29:M29"/>
    <mergeCell ref="H28:M28"/>
    <mergeCell ref="N27:R27"/>
    <mergeCell ref="N29:R29"/>
    <mergeCell ref="S29:W29"/>
    <mergeCell ref="S20:W20"/>
    <mergeCell ref="H22:M22"/>
    <mergeCell ref="N19:R19"/>
    <mergeCell ref="X21:AB21"/>
    <mergeCell ref="S19:W19"/>
    <mergeCell ref="X20:AB20"/>
    <mergeCell ref="X23:AB23"/>
    <mergeCell ref="S23:W23"/>
    <mergeCell ref="N24:R24"/>
    <mergeCell ref="N18:R18"/>
    <mergeCell ref="H18:M18"/>
    <mergeCell ref="H11:M12"/>
    <mergeCell ref="N13:R13"/>
    <mergeCell ref="N22:R22"/>
    <mergeCell ref="AC19:AD19"/>
    <mergeCell ref="D14:G14"/>
    <mergeCell ref="D13:G13"/>
    <mergeCell ref="S13:W13"/>
    <mergeCell ref="BC21:BI21"/>
    <mergeCell ref="AQ21:AV21"/>
    <mergeCell ref="AF21:AJ21"/>
    <mergeCell ref="AK21:AP21"/>
    <mergeCell ref="AW21:BB21"/>
    <mergeCell ref="N21:R21"/>
    <mergeCell ref="N16:R16"/>
    <mergeCell ref="AC16:AD16"/>
    <mergeCell ref="AC14:AD14"/>
    <mergeCell ref="X14:AB14"/>
    <mergeCell ref="AC15:AD15"/>
    <mergeCell ref="X16:AB16"/>
    <mergeCell ref="N15:R15"/>
    <mergeCell ref="AC18:AD18"/>
    <mergeCell ref="N14:R14"/>
    <mergeCell ref="S17:W17"/>
    <mergeCell ref="AC17:AD17"/>
    <mergeCell ref="X15:AB15"/>
    <mergeCell ref="D16:G16"/>
    <mergeCell ref="D15:G15"/>
    <mergeCell ref="S21:W21"/>
    <mergeCell ref="AK19:AP19"/>
    <mergeCell ref="AQ19:AV19"/>
    <mergeCell ref="AF19:AJ19"/>
    <mergeCell ref="AC31:AD31"/>
    <mergeCell ref="AC30:AD30"/>
    <mergeCell ref="AC28:AD28"/>
    <mergeCell ref="AK23:AP23"/>
    <mergeCell ref="AQ23:AV23"/>
    <mergeCell ref="AC23:AD23"/>
    <mergeCell ref="AC20:AD20"/>
    <mergeCell ref="AC21:AD21"/>
    <mergeCell ref="X30:AB30"/>
    <mergeCell ref="X27:AB27"/>
    <mergeCell ref="AC27:AD27"/>
    <mergeCell ref="X24:AB24"/>
    <mergeCell ref="X25:AB25"/>
    <mergeCell ref="N25:R25"/>
    <mergeCell ref="S25:W25"/>
    <mergeCell ref="B22:G22"/>
    <mergeCell ref="AC29:AD29"/>
    <mergeCell ref="AC25:AD25"/>
    <mergeCell ref="AC26:AD26"/>
    <mergeCell ref="X28:AB28"/>
    <mergeCell ref="B24:C27"/>
    <mergeCell ref="B28:G28"/>
    <mergeCell ref="H24:M24"/>
    <mergeCell ref="BC31:BI31"/>
    <mergeCell ref="AW25:BB25"/>
    <mergeCell ref="BC25:BI25"/>
    <mergeCell ref="AC24:AD24"/>
    <mergeCell ref="AC22:AD22"/>
    <mergeCell ref="AQ22:AV22"/>
    <mergeCell ref="AW22:BB22"/>
    <mergeCell ref="AW23:BB23"/>
    <mergeCell ref="BC23:BI23"/>
    <mergeCell ref="AF22:AP22"/>
    <mergeCell ref="AW28:BB28"/>
    <mergeCell ref="BC28:BI28"/>
    <mergeCell ref="AK27:AP27"/>
    <mergeCell ref="AK28:AP28"/>
    <mergeCell ref="AK26:AP26"/>
    <mergeCell ref="AK25:AP25"/>
    <mergeCell ref="AW31:BB31"/>
    <mergeCell ref="BJ24:BO24"/>
    <mergeCell ref="BJ23:BO23"/>
    <mergeCell ref="AQ24:AV24"/>
    <mergeCell ref="AW24:BB24"/>
    <mergeCell ref="BJ25:BO25"/>
    <mergeCell ref="AW26:BB26"/>
    <mergeCell ref="BC26:BI26"/>
    <mergeCell ref="BJ26:BO26"/>
    <mergeCell ref="AQ25:AV25"/>
    <mergeCell ref="AQ26:AV26"/>
    <mergeCell ref="AK33:AP33"/>
    <mergeCell ref="AQ33:AV33"/>
    <mergeCell ref="AW33:BB33"/>
    <mergeCell ref="BC33:BI33"/>
    <mergeCell ref="AQ34:AV34"/>
    <mergeCell ref="AW34:BB34"/>
    <mergeCell ref="BJ29:BO29"/>
    <mergeCell ref="AF31:AJ34"/>
    <mergeCell ref="AK31:AP31"/>
    <mergeCell ref="AQ31:AV31"/>
    <mergeCell ref="BC29:BI29"/>
    <mergeCell ref="AK34:AP34"/>
    <mergeCell ref="BJ31:BO31"/>
    <mergeCell ref="AK32:AP32"/>
    <mergeCell ref="AQ32:AV32"/>
    <mergeCell ref="AW32:BB32"/>
    <mergeCell ref="AQ29:AV29"/>
    <mergeCell ref="AW29:BB29"/>
    <mergeCell ref="AF23:AJ29"/>
    <mergeCell ref="AK24:AP24"/>
    <mergeCell ref="AK29:AP29"/>
    <mergeCell ref="BJ28:BO28"/>
    <mergeCell ref="AQ27:AV27"/>
    <mergeCell ref="AQ28:AV28"/>
    <mergeCell ref="AW37:BC37"/>
    <mergeCell ref="AQ37:AV37"/>
    <mergeCell ref="AR36:AU36"/>
    <mergeCell ref="BJ33:BO33"/>
    <mergeCell ref="BC32:BI32"/>
    <mergeCell ref="BJ32:BO32"/>
    <mergeCell ref="BJ35:BO35"/>
    <mergeCell ref="BJ34:BO34"/>
    <mergeCell ref="BC34:BI34"/>
    <mergeCell ref="AF35:AP35"/>
    <mergeCell ref="AQ35:AV35"/>
    <mergeCell ref="AW35:BB35"/>
    <mergeCell ref="BC35:BI35"/>
    <mergeCell ref="E36:I36"/>
    <mergeCell ref="AI36:AL36"/>
    <mergeCell ref="O35:V35"/>
    <mergeCell ref="M36:P36"/>
    <mergeCell ref="BA36:BF36"/>
    <mergeCell ref="AA36:AD36"/>
    <mergeCell ref="T36:W36"/>
    <mergeCell ref="I39:N39"/>
    <mergeCell ref="I38:N38"/>
    <mergeCell ref="W34:AC34"/>
    <mergeCell ref="N33:R33"/>
    <mergeCell ref="O34:U34"/>
    <mergeCell ref="X33:AB33"/>
    <mergeCell ref="AC33:AD33"/>
    <mergeCell ref="X32:AB32"/>
    <mergeCell ref="S33:W33"/>
    <mergeCell ref="AC32:AD32"/>
    <mergeCell ref="B33:G33"/>
    <mergeCell ref="H33:M33"/>
    <mergeCell ref="H31:M31"/>
    <mergeCell ref="H30:M30"/>
    <mergeCell ref="N30:R30"/>
    <mergeCell ref="D26:G26"/>
    <mergeCell ref="N26:R26"/>
    <mergeCell ref="X26:AB26"/>
    <mergeCell ref="X29:AB29"/>
    <mergeCell ref="H32:M32"/>
    <mergeCell ref="N32:R32"/>
    <mergeCell ref="S32:W32"/>
    <mergeCell ref="B32:G32"/>
    <mergeCell ref="S27:W27"/>
    <mergeCell ref="S26:W26"/>
    <mergeCell ref="N28:R28"/>
    <mergeCell ref="N31:R31"/>
    <mergeCell ref="S31:W31"/>
    <mergeCell ref="S28:W28"/>
    <mergeCell ref="S30:W30"/>
    <mergeCell ref="D27:G27"/>
    <mergeCell ref="H27:M27"/>
    <mergeCell ref="H26:M26"/>
    <mergeCell ref="X31:AB31"/>
    <mergeCell ref="BG2:BJ2"/>
    <mergeCell ref="BK2:BO2"/>
    <mergeCell ref="BG3:BJ5"/>
    <mergeCell ref="BK3:BO5"/>
    <mergeCell ref="AW27:BB27"/>
    <mergeCell ref="BC27:BI27"/>
    <mergeCell ref="BJ27:BO27"/>
    <mergeCell ref="BC24:BI24"/>
    <mergeCell ref="BC22:BI22"/>
    <mergeCell ref="BJ22:BO22"/>
    <mergeCell ref="BM13:BO13"/>
    <mergeCell ref="BJ13:BL13"/>
    <mergeCell ref="BD13:BI13"/>
    <mergeCell ref="AW14:BC14"/>
    <mergeCell ref="BJ15:BL15"/>
    <mergeCell ref="BM14:BO14"/>
    <mergeCell ref="BD14:BI14"/>
    <mergeCell ref="BJ14:BL14"/>
    <mergeCell ref="BM15:BO15"/>
    <mergeCell ref="AW13:BC13"/>
    <mergeCell ref="BJ21:BO21"/>
    <mergeCell ref="BD15:BI15"/>
    <mergeCell ref="AX2:AZ2"/>
    <mergeCell ref="BA2:BC2"/>
  </mergeCells>
  <phoneticPr fontId="42" type="noConversion"/>
  <printOptions horizontalCentered="1"/>
  <pageMargins left="0.17" right="0.17" top="0.82677165354330717" bottom="0.31496062992125984" header="0.47244094488188981" footer="0.31496062992125984"/>
  <pageSetup paperSize="9" scale="82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D2E2-4604-4773-B9E4-2CE02DC6E142}">
  <dimension ref="A1:Q80"/>
  <sheetViews>
    <sheetView workbookViewId="0">
      <selection sqref="A1:Q1"/>
    </sheetView>
  </sheetViews>
  <sheetFormatPr defaultColWidth="8.75" defaultRowHeight="13.5"/>
  <cols>
    <col min="1" max="1" width="9.25" style="270" customWidth="1"/>
    <col min="2" max="2" width="15.25" style="270" customWidth="1"/>
    <col min="3" max="3" width="10.125" style="270" customWidth="1"/>
    <col min="4" max="4" width="14" style="270" customWidth="1"/>
    <col min="5" max="5" width="10.125" style="270" customWidth="1"/>
    <col min="6" max="6" width="12.25" style="270" customWidth="1"/>
    <col min="7" max="12" width="13.25" style="270" customWidth="1"/>
    <col min="13" max="13" width="9" style="270" customWidth="1"/>
    <col min="14" max="14" width="16.375" style="272" customWidth="1"/>
    <col min="15" max="15" width="12.875" style="270" customWidth="1"/>
    <col min="16" max="16" width="5.625" style="270" customWidth="1"/>
    <col min="17" max="17" width="6.25" style="270" customWidth="1"/>
    <col min="18" max="18" width="33.125" style="270" customWidth="1"/>
    <col min="19" max="20" width="12.75" style="270" bestFit="1" customWidth="1"/>
    <col min="21" max="16384" width="8.75" style="270"/>
  </cols>
  <sheetData>
    <row r="1" spans="1:17" ht="44.45" customHeight="1">
      <c r="A1" s="757" t="s">
        <v>482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7"/>
      <c r="N1" s="757"/>
      <c r="O1" s="757"/>
      <c r="P1" s="757"/>
      <c r="Q1" s="757"/>
    </row>
    <row r="2" spans="1:17" ht="24" customHeight="1" thickBot="1">
      <c r="A2" s="271" t="s">
        <v>472</v>
      </c>
    </row>
    <row r="3" spans="1:17" ht="24" customHeight="1">
      <c r="A3" s="758" t="s">
        <v>391</v>
      </c>
      <c r="B3" s="760" t="s">
        <v>392</v>
      </c>
      <c r="C3" s="760" t="s">
        <v>393</v>
      </c>
      <c r="D3" s="760" t="s">
        <v>394</v>
      </c>
      <c r="E3" s="760"/>
      <c r="F3" s="760"/>
      <c r="G3" s="760" t="s">
        <v>395</v>
      </c>
      <c r="H3" s="760"/>
      <c r="I3" s="760"/>
      <c r="J3" s="760" t="s">
        <v>396</v>
      </c>
      <c r="K3" s="760"/>
      <c r="L3" s="760"/>
      <c r="M3" s="760" t="s">
        <v>397</v>
      </c>
      <c r="N3" s="762" t="s">
        <v>398</v>
      </c>
      <c r="O3" s="760" t="s">
        <v>399</v>
      </c>
      <c r="P3" s="769" t="s">
        <v>400</v>
      </c>
      <c r="Q3" s="771" t="s">
        <v>401</v>
      </c>
    </row>
    <row r="4" spans="1:17" ht="21.6" customHeight="1" thickBot="1">
      <c r="A4" s="759"/>
      <c r="B4" s="761"/>
      <c r="C4" s="761"/>
      <c r="D4" s="399" t="s">
        <v>402</v>
      </c>
      <c r="E4" s="399" t="s">
        <v>403</v>
      </c>
      <c r="F4" s="399" t="s">
        <v>404</v>
      </c>
      <c r="G4" s="399" t="s">
        <v>402</v>
      </c>
      <c r="H4" s="399" t="s">
        <v>403</v>
      </c>
      <c r="I4" s="399" t="s">
        <v>404</v>
      </c>
      <c r="J4" s="399" t="s">
        <v>402</v>
      </c>
      <c r="K4" s="399" t="s">
        <v>403</v>
      </c>
      <c r="L4" s="399" t="s">
        <v>404</v>
      </c>
      <c r="M4" s="761"/>
      <c r="N4" s="763"/>
      <c r="O4" s="761"/>
      <c r="P4" s="770"/>
      <c r="Q4" s="772"/>
    </row>
    <row r="5" spans="1:17" ht="22.5" customHeight="1">
      <c r="A5" s="767" t="s">
        <v>473</v>
      </c>
      <c r="B5" s="382" t="s">
        <v>479</v>
      </c>
      <c r="C5" s="382"/>
      <c r="D5" s="378"/>
      <c r="E5" s="378">
        <f t="shared" ref="E5:E6" si="0">D5*0.1</f>
        <v>0</v>
      </c>
      <c r="F5" s="378">
        <f t="shared" ref="F5:F6" si="1">D5+E5</f>
        <v>0</v>
      </c>
      <c r="G5" s="378">
        <v>2510000</v>
      </c>
      <c r="H5" s="378">
        <f t="shared" ref="H5:H10" si="2">G5*0.1</f>
        <v>251000</v>
      </c>
      <c r="I5" s="378">
        <f t="shared" ref="I5:I6" si="3">G5+H5</f>
        <v>2761000</v>
      </c>
      <c r="J5" s="378">
        <f t="shared" ref="J5:K6" si="4">D5+G5</f>
        <v>2510000</v>
      </c>
      <c r="K5" s="378">
        <f t="shared" si="4"/>
        <v>251000</v>
      </c>
      <c r="L5" s="378">
        <f t="shared" ref="L5:L6" si="5">J5+K5</f>
        <v>2761000</v>
      </c>
      <c r="M5" s="378"/>
      <c r="N5" s="379"/>
      <c r="O5" s="378"/>
      <c r="P5" s="378"/>
      <c r="Q5" s="393" t="s">
        <v>480</v>
      </c>
    </row>
    <row r="6" spans="1:17" ht="22.5" customHeight="1">
      <c r="A6" s="767"/>
      <c r="B6" s="383"/>
      <c r="C6" s="383"/>
      <c r="D6" s="278"/>
      <c r="E6" s="278">
        <f t="shared" si="0"/>
        <v>0</v>
      </c>
      <c r="F6" s="278">
        <f t="shared" si="1"/>
        <v>0</v>
      </c>
      <c r="G6" s="278"/>
      <c r="H6" s="278">
        <f t="shared" si="2"/>
        <v>0</v>
      </c>
      <c r="I6" s="278">
        <f t="shared" si="3"/>
        <v>0</v>
      </c>
      <c r="J6" s="278">
        <f t="shared" si="4"/>
        <v>0</v>
      </c>
      <c r="K6" s="278">
        <f t="shared" si="4"/>
        <v>0</v>
      </c>
      <c r="L6" s="278">
        <f t="shared" si="5"/>
        <v>0</v>
      </c>
      <c r="M6" s="273"/>
      <c r="N6" s="281"/>
      <c r="O6" s="278"/>
      <c r="P6" s="278"/>
      <c r="Q6" s="394"/>
    </row>
    <row r="7" spans="1:17" ht="22.5" hidden="1" customHeight="1">
      <c r="A7" s="767"/>
      <c r="B7" s="383"/>
      <c r="C7" s="383"/>
      <c r="D7" s="278"/>
      <c r="E7" s="278"/>
      <c r="F7" s="278"/>
      <c r="G7" s="278"/>
      <c r="H7" s="278">
        <f t="shared" si="2"/>
        <v>0</v>
      </c>
      <c r="I7" s="278">
        <f>G7+H7</f>
        <v>0</v>
      </c>
      <c r="J7" s="273">
        <f t="shared" ref="J7:J15" si="6">D7+G7</f>
        <v>0</v>
      </c>
      <c r="K7" s="273">
        <f t="shared" ref="K7:K15" si="7">E7+H7</f>
        <v>0</v>
      </c>
      <c r="L7" s="273">
        <f t="shared" ref="L7:L15" si="8">J7+K7</f>
        <v>0</v>
      </c>
      <c r="M7" s="282"/>
      <c r="N7" s="281"/>
      <c r="O7" s="278"/>
      <c r="P7" s="283"/>
      <c r="Q7" s="394"/>
    </row>
    <row r="8" spans="1:17" ht="22.5" hidden="1" customHeight="1">
      <c r="A8" s="767"/>
      <c r="B8" s="383"/>
      <c r="C8" s="383"/>
      <c r="D8" s="278"/>
      <c r="E8" s="278"/>
      <c r="F8" s="278"/>
      <c r="G8" s="278"/>
      <c r="H8" s="278">
        <f t="shared" si="2"/>
        <v>0</v>
      </c>
      <c r="I8" s="278">
        <f t="shared" ref="I8:I10" si="9">G8+H8</f>
        <v>0</v>
      </c>
      <c r="J8" s="273">
        <f t="shared" si="6"/>
        <v>0</v>
      </c>
      <c r="K8" s="273">
        <f t="shared" si="7"/>
        <v>0</v>
      </c>
      <c r="L8" s="273">
        <f t="shared" si="8"/>
        <v>0</v>
      </c>
      <c r="M8" s="282"/>
      <c r="N8" s="281"/>
      <c r="O8" s="278"/>
      <c r="P8" s="283"/>
      <c r="Q8" s="394"/>
    </row>
    <row r="9" spans="1:17" ht="22.5" hidden="1" customHeight="1">
      <c r="A9" s="767"/>
      <c r="B9" s="383"/>
      <c r="C9" s="383"/>
      <c r="D9" s="278"/>
      <c r="E9" s="278"/>
      <c r="F9" s="278"/>
      <c r="G9" s="278"/>
      <c r="H9" s="278">
        <f t="shared" si="2"/>
        <v>0</v>
      </c>
      <c r="I9" s="278">
        <f t="shared" si="9"/>
        <v>0</v>
      </c>
      <c r="J9" s="273">
        <f t="shared" si="6"/>
        <v>0</v>
      </c>
      <c r="K9" s="273">
        <f t="shared" si="7"/>
        <v>0</v>
      </c>
      <c r="L9" s="273">
        <f t="shared" si="8"/>
        <v>0</v>
      </c>
      <c r="M9" s="282"/>
      <c r="N9" s="281"/>
      <c r="O9" s="278"/>
      <c r="P9" s="283"/>
      <c r="Q9" s="395"/>
    </row>
    <row r="10" spans="1:17" ht="22.5" hidden="1" customHeight="1">
      <c r="A10" s="767"/>
      <c r="B10" s="384"/>
      <c r="C10" s="383"/>
      <c r="D10" s="278"/>
      <c r="E10" s="278"/>
      <c r="F10" s="278"/>
      <c r="G10" s="278"/>
      <c r="H10" s="278">
        <f t="shared" si="2"/>
        <v>0</v>
      </c>
      <c r="I10" s="278">
        <f t="shared" si="9"/>
        <v>0</v>
      </c>
      <c r="J10" s="273">
        <f t="shared" si="6"/>
        <v>0</v>
      </c>
      <c r="K10" s="273">
        <f t="shared" si="7"/>
        <v>0</v>
      </c>
      <c r="L10" s="273">
        <f t="shared" si="8"/>
        <v>0</v>
      </c>
      <c r="M10" s="282"/>
      <c r="N10" s="281"/>
      <c r="O10" s="278"/>
      <c r="P10" s="283"/>
      <c r="Q10" s="394"/>
    </row>
    <row r="11" spans="1:17" ht="22.5" hidden="1" customHeight="1">
      <c r="A11" s="767"/>
      <c r="B11" s="385"/>
      <c r="C11" s="385"/>
      <c r="D11" s="285"/>
      <c r="E11" s="285"/>
      <c r="F11" s="285"/>
      <c r="G11" s="285"/>
      <c r="H11" s="285"/>
      <c r="I11" s="284"/>
      <c r="J11" s="273">
        <f t="shared" si="6"/>
        <v>0</v>
      </c>
      <c r="K11" s="273">
        <f t="shared" si="7"/>
        <v>0</v>
      </c>
      <c r="L11" s="273">
        <f t="shared" si="8"/>
        <v>0</v>
      </c>
      <c r="M11" s="286"/>
      <c r="N11" s="279"/>
      <c r="O11" s="277"/>
      <c r="P11" s="283"/>
      <c r="Q11" s="394"/>
    </row>
    <row r="12" spans="1:17" ht="22.5" hidden="1" customHeight="1">
      <c r="A12" s="767"/>
      <c r="B12" s="384"/>
      <c r="C12" s="383"/>
      <c r="D12" s="278"/>
      <c r="E12" s="278"/>
      <c r="F12" s="278"/>
      <c r="G12" s="278"/>
      <c r="H12" s="278"/>
      <c r="I12" s="278"/>
      <c r="J12" s="273">
        <f t="shared" si="6"/>
        <v>0</v>
      </c>
      <c r="K12" s="273">
        <f t="shared" si="7"/>
        <v>0</v>
      </c>
      <c r="L12" s="273">
        <f t="shared" si="8"/>
        <v>0</v>
      </c>
      <c r="M12" s="282"/>
      <c r="N12" s="281"/>
      <c r="O12" s="278"/>
      <c r="P12" s="278"/>
      <c r="Q12" s="394"/>
    </row>
    <row r="13" spans="1:17" ht="22.5" hidden="1" customHeight="1">
      <c r="A13" s="767"/>
      <c r="B13" s="385"/>
      <c r="C13" s="386"/>
      <c r="D13" s="277"/>
      <c r="E13" s="277"/>
      <c r="F13" s="277"/>
      <c r="G13" s="277"/>
      <c r="H13" s="277"/>
      <c r="I13" s="278">
        <f t="shared" ref="I13" si="10">SUM(G13:H13)</f>
        <v>0</v>
      </c>
      <c r="J13" s="273">
        <f t="shared" si="6"/>
        <v>0</v>
      </c>
      <c r="K13" s="273">
        <f t="shared" si="7"/>
        <v>0</v>
      </c>
      <c r="L13" s="273">
        <f t="shared" si="8"/>
        <v>0</v>
      </c>
      <c r="M13" s="286"/>
      <c r="N13" s="279"/>
      <c r="O13" s="277"/>
      <c r="P13" s="277"/>
      <c r="Q13" s="396"/>
    </row>
    <row r="14" spans="1:17" ht="22.5" hidden="1" customHeight="1">
      <c r="A14" s="767"/>
      <c r="B14" s="385"/>
      <c r="C14" s="386"/>
      <c r="D14" s="277"/>
      <c r="E14" s="277"/>
      <c r="F14" s="277"/>
      <c r="G14" s="277"/>
      <c r="H14" s="277"/>
      <c r="I14" s="278">
        <f>SUM(G14:H14)</f>
        <v>0</v>
      </c>
      <c r="J14" s="273">
        <f t="shared" si="6"/>
        <v>0</v>
      </c>
      <c r="K14" s="273">
        <f t="shared" si="7"/>
        <v>0</v>
      </c>
      <c r="L14" s="273">
        <f t="shared" si="8"/>
        <v>0</v>
      </c>
      <c r="M14" s="286"/>
      <c r="N14" s="279"/>
      <c r="O14" s="277"/>
      <c r="P14" s="277"/>
      <c r="Q14" s="396"/>
    </row>
    <row r="15" spans="1:17" ht="22.5" hidden="1" customHeight="1">
      <c r="A15" s="768"/>
      <c r="B15" s="385"/>
      <c r="C15" s="386"/>
      <c r="D15" s="277"/>
      <c r="E15" s="277"/>
      <c r="F15" s="277"/>
      <c r="G15" s="277"/>
      <c r="H15" s="277"/>
      <c r="I15" s="278">
        <f>SUM(G15:H15)</f>
        <v>0</v>
      </c>
      <c r="J15" s="273">
        <f t="shared" si="6"/>
        <v>0</v>
      </c>
      <c r="K15" s="273">
        <f t="shared" si="7"/>
        <v>0</v>
      </c>
      <c r="L15" s="273">
        <f t="shared" si="8"/>
        <v>0</v>
      </c>
      <c r="M15" s="286"/>
      <c r="N15" s="279"/>
      <c r="O15" s="277"/>
      <c r="P15" s="277"/>
      <c r="Q15" s="396"/>
    </row>
    <row r="16" spans="1:17" ht="20.45" customHeight="1" thickBot="1">
      <c r="A16" s="400" t="s">
        <v>406</v>
      </c>
      <c r="B16" s="401"/>
      <c r="C16" s="401"/>
      <c r="D16" s="402">
        <f t="shared" ref="D16:L16" si="11">SUM(D5:D15)</f>
        <v>0</v>
      </c>
      <c r="E16" s="402">
        <f t="shared" si="11"/>
        <v>0</v>
      </c>
      <c r="F16" s="402">
        <f t="shared" si="11"/>
        <v>0</v>
      </c>
      <c r="G16" s="402">
        <f t="shared" si="11"/>
        <v>2510000</v>
      </c>
      <c r="H16" s="402">
        <f t="shared" si="11"/>
        <v>251000</v>
      </c>
      <c r="I16" s="402">
        <f t="shared" si="11"/>
        <v>2761000</v>
      </c>
      <c r="J16" s="402">
        <f t="shared" si="11"/>
        <v>2510000</v>
      </c>
      <c r="K16" s="402">
        <f t="shared" si="11"/>
        <v>251000</v>
      </c>
      <c r="L16" s="402">
        <f t="shared" si="11"/>
        <v>2761000</v>
      </c>
      <c r="M16" s="403"/>
      <c r="N16" s="404"/>
      <c r="O16" s="402"/>
      <c r="P16" s="402"/>
      <c r="Q16" s="405"/>
    </row>
    <row r="17" spans="1:17" ht="20.45" customHeight="1">
      <c r="A17" s="766" t="s">
        <v>407</v>
      </c>
      <c r="B17" s="387"/>
      <c r="C17" s="388"/>
      <c r="D17" s="280"/>
      <c r="E17" s="280"/>
      <c r="F17" s="280"/>
      <c r="G17" s="280"/>
      <c r="H17" s="280"/>
      <c r="I17" s="287">
        <f>SUM(G17:H17)</f>
        <v>0</v>
      </c>
      <c r="J17" s="280">
        <f>D17+G17</f>
        <v>0</v>
      </c>
      <c r="K17" s="280">
        <f>E17+H17</f>
        <v>0</v>
      </c>
      <c r="L17" s="280">
        <f>J17+K17</f>
        <v>0</v>
      </c>
      <c r="M17" s="280"/>
      <c r="N17" s="288"/>
      <c r="O17" s="280"/>
      <c r="P17" s="280"/>
      <c r="Q17" s="397"/>
    </row>
    <row r="18" spans="1:17" ht="20.45" customHeight="1">
      <c r="A18" s="767"/>
      <c r="B18" s="389"/>
      <c r="C18" s="390"/>
      <c r="D18" s="273"/>
      <c r="E18" s="273"/>
      <c r="F18" s="273"/>
      <c r="G18" s="273"/>
      <c r="H18" s="273"/>
      <c r="I18" s="278"/>
      <c r="J18" s="273">
        <f t="shared" ref="J18:J21" si="12">D18+G18</f>
        <v>0</v>
      </c>
      <c r="K18" s="273">
        <f t="shared" ref="K18:K21" si="13">E18+H18</f>
        <v>0</v>
      </c>
      <c r="L18" s="273">
        <f t="shared" ref="L18:L21" si="14">J18+K18</f>
        <v>0</v>
      </c>
      <c r="M18" s="278"/>
      <c r="N18" s="281"/>
      <c r="O18" s="273"/>
      <c r="P18" s="273"/>
      <c r="Q18" s="393"/>
    </row>
    <row r="19" spans="1:17" ht="20.45" hidden="1" customHeight="1">
      <c r="A19" s="767"/>
      <c r="B19" s="389"/>
      <c r="C19" s="390"/>
      <c r="D19" s="273"/>
      <c r="E19" s="273"/>
      <c r="F19" s="273"/>
      <c r="G19" s="273"/>
      <c r="H19" s="273"/>
      <c r="I19" s="278"/>
      <c r="J19" s="273">
        <f t="shared" si="12"/>
        <v>0</v>
      </c>
      <c r="K19" s="273">
        <f t="shared" si="13"/>
        <v>0</v>
      </c>
      <c r="L19" s="273">
        <f t="shared" si="14"/>
        <v>0</v>
      </c>
      <c r="M19" s="278"/>
      <c r="N19" s="281"/>
      <c r="O19" s="273"/>
      <c r="P19" s="273"/>
      <c r="Q19" s="393"/>
    </row>
    <row r="20" spans="1:17" ht="20.45" hidden="1" customHeight="1">
      <c r="A20" s="767"/>
      <c r="B20" s="389"/>
      <c r="C20" s="390"/>
      <c r="D20" s="273"/>
      <c r="E20" s="273"/>
      <c r="F20" s="273"/>
      <c r="G20" s="273"/>
      <c r="H20" s="273"/>
      <c r="I20" s="278"/>
      <c r="J20" s="273">
        <f t="shared" si="12"/>
        <v>0</v>
      </c>
      <c r="K20" s="273">
        <f t="shared" si="13"/>
        <v>0</v>
      </c>
      <c r="L20" s="273">
        <f t="shared" si="14"/>
        <v>0</v>
      </c>
      <c r="M20" s="278"/>
      <c r="N20" s="281"/>
      <c r="O20" s="273"/>
      <c r="P20" s="273"/>
      <c r="Q20" s="393"/>
    </row>
    <row r="21" spans="1:17" ht="20.45" hidden="1" customHeight="1">
      <c r="A21" s="767"/>
      <c r="B21" s="389"/>
      <c r="C21" s="390"/>
      <c r="D21" s="273"/>
      <c r="E21" s="273"/>
      <c r="F21" s="273"/>
      <c r="G21" s="273"/>
      <c r="H21" s="273"/>
      <c r="I21" s="278"/>
      <c r="J21" s="273">
        <f t="shared" si="12"/>
        <v>0</v>
      </c>
      <c r="K21" s="273">
        <f t="shared" si="13"/>
        <v>0</v>
      </c>
      <c r="L21" s="273">
        <f t="shared" si="14"/>
        <v>0</v>
      </c>
      <c r="M21" s="278"/>
      <c r="N21" s="281"/>
      <c r="O21" s="273"/>
      <c r="P21" s="273"/>
      <c r="Q21" s="393"/>
    </row>
    <row r="22" spans="1:17" ht="20.45" hidden="1" customHeight="1">
      <c r="A22" s="767"/>
      <c r="B22" s="389"/>
      <c r="C22" s="390"/>
      <c r="D22" s="273"/>
      <c r="E22" s="273"/>
      <c r="F22" s="273"/>
      <c r="G22" s="273"/>
      <c r="H22" s="273"/>
      <c r="I22" s="278"/>
      <c r="J22" s="273">
        <f t="shared" ref="J22:K25" si="15">D22+G22</f>
        <v>0</v>
      </c>
      <c r="K22" s="273">
        <f t="shared" si="15"/>
        <v>0</v>
      </c>
      <c r="L22" s="273">
        <f>J22+K22</f>
        <v>0</v>
      </c>
      <c r="M22" s="278"/>
      <c r="N22" s="281"/>
      <c r="O22" s="273"/>
      <c r="P22" s="273"/>
      <c r="Q22" s="393"/>
    </row>
    <row r="23" spans="1:17" ht="20.45" hidden="1" customHeight="1">
      <c r="A23" s="767"/>
      <c r="B23" s="384"/>
      <c r="C23" s="383"/>
      <c r="D23" s="278"/>
      <c r="E23" s="278"/>
      <c r="F23" s="278"/>
      <c r="G23" s="278"/>
      <c r="H23" s="278"/>
      <c r="I23" s="278"/>
      <c r="J23" s="273">
        <f t="shared" si="15"/>
        <v>0</v>
      </c>
      <c r="K23" s="273">
        <f t="shared" si="15"/>
        <v>0</v>
      </c>
      <c r="L23" s="273">
        <f>J23+K23</f>
        <v>0</v>
      </c>
      <c r="M23" s="278"/>
      <c r="N23" s="281"/>
      <c r="O23" s="278"/>
      <c r="P23" s="278"/>
      <c r="Q23" s="394"/>
    </row>
    <row r="24" spans="1:17" ht="20.45" hidden="1" customHeight="1">
      <c r="A24" s="767"/>
      <c r="B24" s="384"/>
      <c r="C24" s="383"/>
      <c r="D24" s="278"/>
      <c r="E24" s="278"/>
      <c r="F24" s="278"/>
      <c r="G24" s="278"/>
      <c r="H24" s="278"/>
      <c r="I24" s="278"/>
      <c r="J24" s="273">
        <f t="shared" si="15"/>
        <v>0</v>
      </c>
      <c r="K24" s="273">
        <f t="shared" si="15"/>
        <v>0</v>
      </c>
      <c r="L24" s="273">
        <f>J24+K24</f>
        <v>0</v>
      </c>
      <c r="M24" s="278"/>
      <c r="N24" s="281"/>
      <c r="O24" s="278"/>
      <c r="P24" s="278"/>
      <c r="Q24" s="394"/>
    </row>
    <row r="25" spans="1:17" ht="20.45" hidden="1" customHeight="1">
      <c r="A25" s="768"/>
      <c r="B25" s="385"/>
      <c r="C25" s="386"/>
      <c r="D25" s="277"/>
      <c r="E25" s="277"/>
      <c r="F25" s="277"/>
      <c r="G25" s="277"/>
      <c r="H25" s="277"/>
      <c r="I25" s="278"/>
      <c r="J25" s="273">
        <f t="shared" si="15"/>
        <v>0</v>
      </c>
      <c r="K25" s="273">
        <f t="shared" si="15"/>
        <v>0</v>
      </c>
      <c r="L25" s="273">
        <f>J25+K25</f>
        <v>0</v>
      </c>
      <c r="M25" s="277"/>
      <c r="N25" s="279"/>
      <c r="O25" s="277"/>
      <c r="P25" s="277"/>
      <c r="Q25" s="396"/>
    </row>
    <row r="26" spans="1:17" ht="20.45" customHeight="1" thickBot="1">
      <c r="A26" s="400" t="s">
        <v>406</v>
      </c>
      <c r="B26" s="401"/>
      <c r="C26" s="401"/>
      <c r="D26" s="402">
        <f t="shared" ref="D26:L26" si="16">SUM(D17:D25)</f>
        <v>0</v>
      </c>
      <c r="E26" s="402">
        <f t="shared" si="16"/>
        <v>0</v>
      </c>
      <c r="F26" s="402">
        <f t="shared" si="16"/>
        <v>0</v>
      </c>
      <c r="G26" s="402">
        <f t="shared" si="16"/>
        <v>0</v>
      </c>
      <c r="H26" s="402">
        <f t="shared" si="16"/>
        <v>0</v>
      </c>
      <c r="I26" s="402">
        <f t="shared" si="16"/>
        <v>0</v>
      </c>
      <c r="J26" s="402">
        <f t="shared" si="16"/>
        <v>0</v>
      </c>
      <c r="K26" s="402">
        <f t="shared" si="16"/>
        <v>0</v>
      </c>
      <c r="L26" s="402">
        <f t="shared" si="16"/>
        <v>0</v>
      </c>
      <c r="M26" s="402"/>
      <c r="N26" s="404"/>
      <c r="O26" s="402"/>
      <c r="P26" s="402"/>
      <c r="Q26" s="405"/>
    </row>
    <row r="27" spans="1:17" ht="20.45" customHeight="1">
      <c r="A27" s="766" t="s">
        <v>474</v>
      </c>
      <c r="B27" s="391"/>
      <c r="C27" s="391"/>
      <c r="D27" s="380"/>
      <c r="E27" s="287">
        <f>D27*0.1</f>
        <v>0</v>
      </c>
      <c r="F27" s="287">
        <f>D27+E27</f>
        <v>0</v>
      </c>
      <c r="G27" s="380"/>
      <c r="H27" s="380">
        <f>G27*0.1</f>
        <v>0</v>
      </c>
      <c r="I27" s="380">
        <f>G27+H27</f>
        <v>0</v>
      </c>
      <c r="J27" s="380">
        <f t="shared" ref="J27:K32" si="17">D27+G27</f>
        <v>0</v>
      </c>
      <c r="K27" s="380">
        <f t="shared" si="17"/>
        <v>0</v>
      </c>
      <c r="L27" s="380">
        <f t="shared" ref="L27:L32" si="18">J27+K27</f>
        <v>0</v>
      </c>
      <c r="M27" s="380"/>
      <c r="N27" s="381"/>
      <c r="O27" s="380"/>
      <c r="P27" s="380"/>
      <c r="Q27" s="397"/>
    </row>
    <row r="28" spans="1:17" ht="20.45" customHeight="1">
      <c r="A28" s="767"/>
      <c r="B28" s="383"/>
      <c r="C28" s="383"/>
      <c r="D28" s="278"/>
      <c r="E28" s="278">
        <f>D28*0.1</f>
        <v>0</v>
      </c>
      <c r="F28" s="278">
        <f>D28+E28</f>
        <v>0</v>
      </c>
      <c r="G28" s="278"/>
      <c r="H28" s="278">
        <f t="shared" ref="H28:H32" si="19">G28*0.1</f>
        <v>0</v>
      </c>
      <c r="I28" s="278">
        <f t="shared" ref="I28:I32" si="20">G28+H28</f>
        <v>0</v>
      </c>
      <c r="J28" s="278">
        <f t="shared" si="17"/>
        <v>0</v>
      </c>
      <c r="K28" s="278">
        <f t="shared" si="17"/>
        <v>0</v>
      </c>
      <c r="L28" s="278">
        <f t="shared" si="18"/>
        <v>0</v>
      </c>
      <c r="M28" s="278"/>
      <c r="N28" s="281"/>
      <c r="O28" s="278"/>
      <c r="P28" s="278"/>
      <c r="Q28" s="394"/>
    </row>
    <row r="29" spans="1:17" ht="20.45" hidden="1" customHeight="1">
      <c r="A29" s="767"/>
      <c r="B29" s="386"/>
      <c r="C29" s="386"/>
      <c r="D29" s="277"/>
      <c r="E29" s="278">
        <f t="shared" ref="E29:E35" si="21">D29*0.1</f>
        <v>0</v>
      </c>
      <c r="F29" s="278">
        <f t="shared" ref="F29:F35" si="22">D29+E29</f>
        <v>0</v>
      </c>
      <c r="G29" s="277"/>
      <c r="H29" s="278">
        <f t="shared" si="19"/>
        <v>0</v>
      </c>
      <c r="I29" s="278">
        <f t="shared" si="20"/>
        <v>0</v>
      </c>
      <c r="J29" s="278">
        <f t="shared" si="17"/>
        <v>0</v>
      </c>
      <c r="K29" s="278">
        <f t="shared" si="17"/>
        <v>0</v>
      </c>
      <c r="L29" s="278">
        <f t="shared" si="18"/>
        <v>0</v>
      </c>
      <c r="M29" s="277"/>
      <c r="N29" s="279"/>
      <c r="O29" s="277"/>
      <c r="P29" s="277"/>
      <c r="Q29" s="396"/>
    </row>
    <row r="30" spans="1:17" ht="20.45" hidden="1" customHeight="1">
      <c r="A30" s="767"/>
      <c r="B30" s="386"/>
      <c r="C30" s="386"/>
      <c r="D30" s="277"/>
      <c r="E30" s="278">
        <f t="shared" si="21"/>
        <v>0</v>
      </c>
      <c r="F30" s="278">
        <f t="shared" si="22"/>
        <v>0</v>
      </c>
      <c r="G30" s="277"/>
      <c r="H30" s="278">
        <f t="shared" si="19"/>
        <v>0</v>
      </c>
      <c r="I30" s="278">
        <f t="shared" si="20"/>
        <v>0</v>
      </c>
      <c r="J30" s="278">
        <f t="shared" si="17"/>
        <v>0</v>
      </c>
      <c r="K30" s="278">
        <f t="shared" si="17"/>
        <v>0</v>
      </c>
      <c r="L30" s="278">
        <f t="shared" si="18"/>
        <v>0</v>
      </c>
      <c r="M30" s="277"/>
      <c r="N30" s="279"/>
      <c r="O30" s="277"/>
      <c r="P30" s="277"/>
      <c r="Q30" s="396"/>
    </row>
    <row r="31" spans="1:17" ht="20.45" hidden="1" customHeight="1">
      <c r="A31" s="767"/>
      <c r="B31" s="386"/>
      <c r="C31" s="386"/>
      <c r="D31" s="277"/>
      <c r="E31" s="278">
        <f t="shared" si="21"/>
        <v>0</v>
      </c>
      <c r="F31" s="278">
        <f t="shared" si="22"/>
        <v>0</v>
      </c>
      <c r="G31" s="277"/>
      <c r="H31" s="278">
        <f t="shared" si="19"/>
        <v>0</v>
      </c>
      <c r="I31" s="278">
        <f t="shared" si="20"/>
        <v>0</v>
      </c>
      <c r="J31" s="278">
        <f t="shared" si="17"/>
        <v>0</v>
      </c>
      <c r="K31" s="278">
        <f t="shared" si="17"/>
        <v>0</v>
      </c>
      <c r="L31" s="278">
        <f t="shared" si="18"/>
        <v>0</v>
      </c>
      <c r="M31" s="277"/>
      <c r="N31" s="279"/>
      <c r="O31" s="277"/>
      <c r="P31" s="277"/>
      <c r="Q31" s="396"/>
    </row>
    <row r="32" spans="1:17" ht="20.45" hidden="1" customHeight="1">
      <c r="A32" s="767"/>
      <c r="B32" s="386"/>
      <c r="C32" s="386"/>
      <c r="D32" s="277"/>
      <c r="E32" s="278">
        <f t="shared" si="21"/>
        <v>0</v>
      </c>
      <c r="F32" s="278">
        <f t="shared" si="22"/>
        <v>0</v>
      </c>
      <c r="G32" s="277"/>
      <c r="H32" s="278">
        <f t="shared" si="19"/>
        <v>0</v>
      </c>
      <c r="I32" s="278">
        <f t="shared" si="20"/>
        <v>0</v>
      </c>
      <c r="J32" s="278">
        <f t="shared" si="17"/>
        <v>0</v>
      </c>
      <c r="K32" s="278">
        <f t="shared" si="17"/>
        <v>0</v>
      </c>
      <c r="L32" s="278">
        <f t="shared" si="18"/>
        <v>0</v>
      </c>
      <c r="M32" s="277"/>
      <c r="N32" s="279"/>
      <c r="O32" s="277"/>
      <c r="P32" s="277"/>
      <c r="Q32" s="396"/>
    </row>
    <row r="33" spans="1:17" ht="20.45" hidden="1" customHeight="1">
      <c r="A33" s="767"/>
      <c r="B33" s="386"/>
      <c r="C33" s="386"/>
      <c r="D33" s="277"/>
      <c r="E33" s="278">
        <f t="shared" si="21"/>
        <v>0</v>
      </c>
      <c r="F33" s="278">
        <f t="shared" si="22"/>
        <v>0</v>
      </c>
      <c r="G33" s="277"/>
      <c r="H33" s="278">
        <f t="shared" ref="H33:H34" si="23">G33*0.1</f>
        <v>0</v>
      </c>
      <c r="I33" s="278">
        <f t="shared" ref="I33:I34" si="24">G33+H33</f>
        <v>0</v>
      </c>
      <c r="J33" s="278">
        <f t="shared" ref="J33:J34" si="25">D33+G33</f>
        <v>0</v>
      </c>
      <c r="K33" s="278">
        <f t="shared" ref="K33:K34" si="26">E33+H33</f>
        <v>0</v>
      </c>
      <c r="L33" s="278">
        <f t="shared" ref="L33:L34" si="27">J33+K33</f>
        <v>0</v>
      </c>
      <c r="M33" s="277"/>
      <c r="N33" s="279"/>
      <c r="O33" s="277"/>
      <c r="P33" s="277"/>
      <c r="Q33" s="396"/>
    </row>
    <row r="34" spans="1:17" ht="20.45" hidden="1" customHeight="1">
      <c r="A34" s="767"/>
      <c r="B34" s="386"/>
      <c r="C34" s="386"/>
      <c r="D34" s="277"/>
      <c r="E34" s="278">
        <f t="shared" si="21"/>
        <v>0</v>
      </c>
      <c r="F34" s="278">
        <f t="shared" si="22"/>
        <v>0</v>
      </c>
      <c r="G34" s="277"/>
      <c r="H34" s="278">
        <f t="shared" si="23"/>
        <v>0</v>
      </c>
      <c r="I34" s="278">
        <f t="shared" si="24"/>
        <v>0</v>
      </c>
      <c r="J34" s="278">
        <f t="shared" si="25"/>
        <v>0</v>
      </c>
      <c r="K34" s="278">
        <f t="shared" si="26"/>
        <v>0</v>
      </c>
      <c r="L34" s="278">
        <f t="shared" si="27"/>
        <v>0</v>
      </c>
      <c r="M34" s="277"/>
      <c r="N34" s="279"/>
      <c r="O34" s="277"/>
      <c r="P34" s="277"/>
      <c r="Q34" s="396"/>
    </row>
    <row r="35" spans="1:17" ht="20.45" hidden="1" customHeight="1">
      <c r="A35" s="768"/>
      <c r="B35" s="386"/>
      <c r="C35" s="386"/>
      <c r="D35" s="277"/>
      <c r="E35" s="278">
        <f t="shared" si="21"/>
        <v>0</v>
      </c>
      <c r="F35" s="278">
        <f t="shared" si="22"/>
        <v>0</v>
      </c>
      <c r="G35" s="277"/>
      <c r="H35" s="278"/>
      <c r="I35" s="277"/>
      <c r="J35" s="378">
        <f>D35+G35</f>
        <v>0</v>
      </c>
      <c r="K35" s="378">
        <f>E35+H35</f>
        <v>0</v>
      </c>
      <c r="L35" s="378">
        <f>J35+K35</f>
        <v>0</v>
      </c>
      <c r="M35" s="277"/>
      <c r="N35" s="279"/>
      <c r="O35" s="277"/>
      <c r="P35" s="277"/>
      <c r="Q35" s="396"/>
    </row>
    <row r="36" spans="1:17" ht="20.45" customHeight="1" thickBot="1">
      <c r="A36" s="400" t="s">
        <v>406</v>
      </c>
      <c r="B36" s="401"/>
      <c r="C36" s="401"/>
      <c r="D36" s="402">
        <f t="shared" ref="D36:L36" si="28">SUM(D27:D35)</f>
        <v>0</v>
      </c>
      <c r="E36" s="402">
        <f t="shared" si="28"/>
        <v>0</v>
      </c>
      <c r="F36" s="402">
        <f t="shared" si="28"/>
        <v>0</v>
      </c>
      <c r="G36" s="402">
        <f t="shared" si="28"/>
        <v>0</v>
      </c>
      <c r="H36" s="402">
        <f t="shared" si="28"/>
        <v>0</v>
      </c>
      <c r="I36" s="402">
        <f t="shared" si="28"/>
        <v>0</v>
      </c>
      <c r="J36" s="402">
        <f t="shared" si="28"/>
        <v>0</v>
      </c>
      <c r="K36" s="402">
        <f t="shared" si="28"/>
        <v>0</v>
      </c>
      <c r="L36" s="402">
        <f t="shared" si="28"/>
        <v>0</v>
      </c>
      <c r="M36" s="402"/>
      <c r="N36" s="404"/>
      <c r="O36" s="402"/>
      <c r="P36" s="402"/>
      <c r="Q36" s="405"/>
    </row>
    <row r="37" spans="1:17" ht="20.45" customHeight="1">
      <c r="A37" s="766" t="s">
        <v>475</v>
      </c>
      <c r="B37" s="391"/>
      <c r="C37" s="391"/>
      <c r="D37" s="380"/>
      <c r="E37" s="287">
        <f>D37*0.1</f>
        <v>0</v>
      </c>
      <c r="F37" s="287">
        <f>D37+E37</f>
        <v>0</v>
      </c>
      <c r="G37" s="380"/>
      <c r="H37" s="380">
        <f>G37*0.1</f>
        <v>0</v>
      </c>
      <c r="I37" s="380">
        <f>G37+H37</f>
        <v>0</v>
      </c>
      <c r="J37" s="380">
        <f t="shared" ref="J37:K42" si="29">D37+G37</f>
        <v>0</v>
      </c>
      <c r="K37" s="380">
        <f t="shared" si="29"/>
        <v>0</v>
      </c>
      <c r="L37" s="380">
        <f t="shared" ref="L37:L42" si="30">J37+K37</f>
        <v>0</v>
      </c>
      <c r="M37" s="380"/>
      <c r="N37" s="381"/>
      <c r="O37" s="380"/>
      <c r="P37" s="380"/>
      <c r="Q37" s="397"/>
    </row>
    <row r="38" spans="1:17" ht="20.45" customHeight="1">
      <c r="A38" s="767"/>
      <c r="B38" s="383"/>
      <c r="C38" s="383"/>
      <c r="D38" s="278"/>
      <c r="E38" s="278">
        <f>D38*0.1</f>
        <v>0</v>
      </c>
      <c r="F38" s="278">
        <f>D38+E38</f>
        <v>0</v>
      </c>
      <c r="G38" s="278"/>
      <c r="H38" s="278">
        <f t="shared" ref="H38:H42" si="31">G38*0.1</f>
        <v>0</v>
      </c>
      <c r="I38" s="278">
        <f t="shared" ref="I38:I42" si="32">G38+H38</f>
        <v>0</v>
      </c>
      <c r="J38" s="278">
        <f t="shared" si="29"/>
        <v>0</v>
      </c>
      <c r="K38" s="278">
        <f t="shared" si="29"/>
        <v>0</v>
      </c>
      <c r="L38" s="278">
        <f t="shared" si="30"/>
        <v>0</v>
      </c>
      <c r="M38" s="278"/>
      <c r="N38" s="281"/>
      <c r="O38" s="278"/>
      <c r="P38" s="278"/>
      <c r="Q38" s="394"/>
    </row>
    <row r="39" spans="1:17" ht="20.45" hidden="1" customHeight="1">
      <c r="A39" s="767"/>
      <c r="B39" s="386"/>
      <c r="C39" s="386"/>
      <c r="D39" s="277"/>
      <c r="E39" s="278">
        <f t="shared" ref="E39:E45" si="33">D39*0.1</f>
        <v>0</v>
      </c>
      <c r="F39" s="278">
        <f t="shared" ref="F39:F45" si="34">D39+E39</f>
        <v>0</v>
      </c>
      <c r="G39" s="277"/>
      <c r="H39" s="278">
        <f t="shared" si="31"/>
        <v>0</v>
      </c>
      <c r="I39" s="278">
        <f t="shared" si="32"/>
        <v>0</v>
      </c>
      <c r="J39" s="278">
        <f t="shared" si="29"/>
        <v>0</v>
      </c>
      <c r="K39" s="278">
        <f t="shared" si="29"/>
        <v>0</v>
      </c>
      <c r="L39" s="278">
        <f t="shared" si="30"/>
        <v>0</v>
      </c>
      <c r="M39" s="277"/>
      <c r="N39" s="279"/>
      <c r="O39" s="277"/>
      <c r="P39" s="277"/>
      <c r="Q39" s="396"/>
    </row>
    <row r="40" spans="1:17" ht="20.45" hidden="1" customHeight="1">
      <c r="A40" s="767"/>
      <c r="B40" s="386"/>
      <c r="C40" s="386"/>
      <c r="D40" s="277"/>
      <c r="E40" s="278">
        <f t="shared" si="33"/>
        <v>0</v>
      </c>
      <c r="F40" s="278">
        <f t="shared" si="34"/>
        <v>0</v>
      </c>
      <c r="G40" s="277"/>
      <c r="H40" s="278">
        <f t="shared" si="31"/>
        <v>0</v>
      </c>
      <c r="I40" s="278">
        <f t="shared" si="32"/>
        <v>0</v>
      </c>
      <c r="J40" s="278">
        <f t="shared" si="29"/>
        <v>0</v>
      </c>
      <c r="K40" s="278">
        <f t="shared" si="29"/>
        <v>0</v>
      </c>
      <c r="L40" s="278">
        <f t="shared" si="30"/>
        <v>0</v>
      </c>
      <c r="M40" s="277"/>
      <c r="N40" s="279"/>
      <c r="O40" s="277"/>
      <c r="P40" s="277"/>
      <c r="Q40" s="396"/>
    </row>
    <row r="41" spans="1:17" ht="20.45" hidden="1" customHeight="1">
      <c r="A41" s="767"/>
      <c r="B41" s="386"/>
      <c r="C41" s="386"/>
      <c r="D41" s="277"/>
      <c r="E41" s="278">
        <f t="shared" si="33"/>
        <v>0</v>
      </c>
      <c r="F41" s="278">
        <f t="shared" si="34"/>
        <v>0</v>
      </c>
      <c r="G41" s="277"/>
      <c r="H41" s="278">
        <f t="shared" si="31"/>
        <v>0</v>
      </c>
      <c r="I41" s="278">
        <f t="shared" si="32"/>
        <v>0</v>
      </c>
      <c r="J41" s="278">
        <f t="shared" si="29"/>
        <v>0</v>
      </c>
      <c r="K41" s="278">
        <f t="shared" si="29"/>
        <v>0</v>
      </c>
      <c r="L41" s="278">
        <f t="shared" si="30"/>
        <v>0</v>
      </c>
      <c r="M41" s="277"/>
      <c r="N41" s="279"/>
      <c r="O41" s="277"/>
      <c r="P41" s="277"/>
      <c r="Q41" s="396"/>
    </row>
    <row r="42" spans="1:17" ht="20.45" hidden="1" customHeight="1">
      <c r="A42" s="767"/>
      <c r="B42" s="386"/>
      <c r="C42" s="386"/>
      <c r="D42" s="277"/>
      <c r="E42" s="278">
        <f t="shared" si="33"/>
        <v>0</v>
      </c>
      <c r="F42" s="278">
        <f t="shared" si="34"/>
        <v>0</v>
      </c>
      <c r="G42" s="277"/>
      <c r="H42" s="278">
        <f t="shared" si="31"/>
        <v>0</v>
      </c>
      <c r="I42" s="278">
        <f t="shared" si="32"/>
        <v>0</v>
      </c>
      <c r="J42" s="278">
        <f t="shared" si="29"/>
        <v>0</v>
      </c>
      <c r="K42" s="278">
        <f t="shared" si="29"/>
        <v>0</v>
      </c>
      <c r="L42" s="278">
        <f t="shared" si="30"/>
        <v>0</v>
      </c>
      <c r="M42" s="277"/>
      <c r="N42" s="279"/>
      <c r="O42" s="277"/>
      <c r="P42" s="277"/>
      <c r="Q42" s="396"/>
    </row>
    <row r="43" spans="1:17" ht="20.45" hidden="1" customHeight="1">
      <c r="A43" s="767"/>
      <c r="B43" s="386"/>
      <c r="C43" s="386"/>
      <c r="D43" s="277"/>
      <c r="E43" s="278">
        <f t="shared" si="33"/>
        <v>0</v>
      </c>
      <c r="F43" s="278">
        <f t="shared" si="34"/>
        <v>0</v>
      </c>
      <c r="G43" s="277"/>
      <c r="H43" s="278">
        <f t="shared" ref="H43:H45" si="35">G43*0.1</f>
        <v>0</v>
      </c>
      <c r="I43" s="278">
        <f t="shared" ref="I43:I45" si="36">G43+H43</f>
        <v>0</v>
      </c>
      <c r="J43" s="278">
        <f t="shared" ref="J43:J45" si="37">D43+G43</f>
        <v>0</v>
      </c>
      <c r="K43" s="278">
        <f t="shared" ref="K43:K45" si="38">E43+H43</f>
        <v>0</v>
      </c>
      <c r="L43" s="278">
        <f t="shared" ref="L43:L45" si="39">J43+K43</f>
        <v>0</v>
      </c>
      <c r="M43" s="277"/>
      <c r="N43" s="279"/>
      <c r="O43" s="277"/>
      <c r="P43" s="277"/>
      <c r="Q43" s="396"/>
    </row>
    <row r="44" spans="1:17" ht="20.45" hidden="1" customHeight="1">
      <c r="A44" s="767"/>
      <c r="B44" s="386"/>
      <c r="C44" s="386"/>
      <c r="D44" s="277"/>
      <c r="E44" s="278">
        <f t="shared" si="33"/>
        <v>0</v>
      </c>
      <c r="F44" s="278">
        <f t="shared" si="34"/>
        <v>0</v>
      </c>
      <c r="G44" s="277"/>
      <c r="H44" s="278">
        <f t="shared" si="35"/>
        <v>0</v>
      </c>
      <c r="I44" s="278">
        <f t="shared" si="36"/>
        <v>0</v>
      </c>
      <c r="J44" s="278">
        <f t="shared" si="37"/>
        <v>0</v>
      </c>
      <c r="K44" s="278">
        <f t="shared" si="38"/>
        <v>0</v>
      </c>
      <c r="L44" s="278">
        <f t="shared" si="39"/>
        <v>0</v>
      </c>
      <c r="M44" s="277"/>
      <c r="N44" s="279"/>
      <c r="O44" s="277"/>
      <c r="P44" s="277"/>
      <c r="Q44" s="396"/>
    </row>
    <row r="45" spans="1:17" ht="20.45" hidden="1" customHeight="1">
      <c r="A45" s="768"/>
      <c r="B45" s="386"/>
      <c r="C45" s="386"/>
      <c r="D45" s="277"/>
      <c r="E45" s="278">
        <f t="shared" si="33"/>
        <v>0</v>
      </c>
      <c r="F45" s="278">
        <f t="shared" si="34"/>
        <v>0</v>
      </c>
      <c r="G45" s="277"/>
      <c r="H45" s="278">
        <f t="shared" si="35"/>
        <v>0</v>
      </c>
      <c r="I45" s="278">
        <f t="shared" si="36"/>
        <v>0</v>
      </c>
      <c r="J45" s="278">
        <f t="shared" si="37"/>
        <v>0</v>
      </c>
      <c r="K45" s="278">
        <f t="shared" si="38"/>
        <v>0</v>
      </c>
      <c r="L45" s="278">
        <f t="shared" si="39"/>
        <v>0</v>
      </c>
      <c r="M45" s="277"/>
      <c r="N45" s="279"/>
      <c r="O45" s="277"/>
      <c r="P45" s="277"/>
      <c r="Q45" s="396"/>
    </row>
    <row r="46" spans="1:17" ht="20.45" customHeight="1" thickBot="1">
      <c r="A46" s="400" t="s">
        <v>406</v>
      </c>
      <c r="B46" s="401"/>
      <c r="C46" s="401"/>
      <c r="D46" s="402">
        <f t="shared" ref="D46:L46" si="40">SUM(D37:D45)</f>
        <v>0</v>
      </c>
      <c r="E46" s="402">
        <f t="shared" si="40"/>
        <v>0</v>
      </c>
      <c r="F46" s="402">
        <f t="shared" si="40"/>
        <v>0</v>
      </c>
      <c r="G46" s="402">
        <f t="shared" si="40"/>
        <v>0</v>
      </c>
      <c r="H46" s="402">
        <f t="shared" si="40"/>
        <v>0</v>
      </c>
      <c r="I46" s="402">
        <f t="shared" si="40"/>
        <v>0</v>
      </c>
      <c r="J46" s="402">
        <f t="shared" si="40"/>
        <v>0</v>
      </c>
      <c r="K46" s="402">
        <f t="shared" si="40"/>
        <v>0</v>
      </c>
      <c r="L46" s="402">
        <f t="shared" si="40"/>
        <v>0</v>
      </c>
      <c r="M46" s="402"/>
      <c r="N46" s="404"/>
      <c r="O46" s="402"/>
      <c r="P46" s="402"/>
      <c r="Q46" s="405"/>
    </row>
    <row r="47" spans="1:17" ht="20.45" customHeight="1">
      <c r="A47" s="767" t="s">
        <v>405</v>
      </c>
      <c r="B47" s="389" t="s">
        <v>434</v>
      </c>
      <c r="C47" s="390"/>
      <c r="D47" s="273"/>
      <c r="E47" s="273">
        <f>D47*0.1</f>
        <v>0</v>
      </c>
      <c r="F47" s="273">
        <f>D47+E47</f>
        <v>0</v>
      </c>
      <c r="G47" s="273">
        <v>32800000</v>
      </c>
      <c r="H47" s="273">
        <f>G47*0.1</f>
        <v>3280000</v>
      </c>
      <c r="I47" s="273">
        <f>G47+H47</f>
        <v>36080000</v>
      </c>
      <c r="J47" s="273">
        <f>D47+G47</f>
        <v>32800000</v>
      </c>
      <c r="K47" s="273">
        <f>E47+H47</f>
        <v>3280000</v>
      </c>
      <c r="L47" s="273">
        <f>J47+K47</f>
        <v>36080000</v>
      </c>
      <c r="M47" s="273"/>
      <c r="N47" s="274"/>
      <c r="O47" s="273"/>
      <c r="P47" s="273"/>
      <c r="Q47" s="393" t="s">
        <v>436</v>
      </c>
    </row>
    <row r="48" spans="1:17" ht="20.45" customHeight="1">
      <c r="A48" s="767"/>
      <c r="B48" s="392" t="s">
        <v>438</v>
      </c>
      <c r="C48" s="392"/>
      <c r="D48" s="275"/>
      <c r="E48" s="278">
        <f>D48*0.1</f>
        <v>0</v>
      </c>
      <c r="F48" s="278">
        <f>D48+E48</f>
        <v>0</v>
      </c>
      <c r="G48" s="275">
        <v>33000000</v>
      </c>
      <c r="H48" s="273">
        <f t="shared" ref="H48:H53" si="41">G48*0.1</f>
        <v>3300000</v>
      </c>
      <c r="I48" s="273">
        <f t="shared" ref="I48:I53" si="42">G48+H48</f>
        <v>36300000</v>
      </c>
      <c r="J48" s="273">
        <f t="shared" ref="J48:K56" si="43">D48+G48</f>
        <v>33000000</v>
      </c>
      <c r="K48" s="273">
        <f t="shared" si="43"/>
        <v>3300000</v>
      </c>
      <c r="L48" s="273">
        <f t="shared" ref="L48:L56" si="44">J48+K48</f>
        <v>36300000</v>
      </c>
      <c r="M48" s="273"/>
      <c r="N48" s="274"/>
      <c r="O48" s="273"/>
      <c r="P48" s="273"/>
      <c r="Q48" s="393" t="s">
        <v>440</v>
      </c>
    </row>
    <row r="49" spans="1:17" ht="20.45" customHeight="1">
      <c r="A49" s="767"/>
      <c r="B49" s="390" t="s">
        <v>442</v>
      </c>
      <c r="C49" s="390"/>
      <c r="D49" s="273"/>
      <c r="E49" s="273">
        <f t="shared" ref="E49:E54" si="45">D49*0.1</f>
        <v>0</v>
      </c>
      <c r="F49" s="273">
        <f t="shared" ref="F49:F54" si="46">D49+E49</f>
        <v>0</v>
      </c>
      <c r="G49" s="273">
        <v>300000</v>
      </c>
      <c r="H49" s="273">
        <f t="shared" si="41"/>
        <v>30000</v>
      </c>
      <c r="I49" s="273">
        <f t="shared" si="42"/>
        <v>330000</v>
      </c>
      <c r="J49" s="273">
        <f t="shared" si="43"/>
        <v>300000</v>
      </c>
      <c r="K49" s="273">
        <f t="shared" si="43"/>
        <v>30000</v>
      </c>
      <c r="L49" s="273">
        <f t="shared" si="44"/>
        <v>330000</v>
      </c>
      <c r="M49" s="273"/>
      <c r="N49" s="274"/>
      <c r="O49" s="273"/>
      <c r="P49" s="273"/>
      <c r="Q49" s="393" t="s">
        <v>444</v>
      </c>
    </row>
    <row r="50" spans="1:17" ht="20.45" customHeight="1">
      <c r="A50" s="767"/>
      <c r="B50" s="390" t="s">
        <v>458</v>
      </c>
      <c r="C50" s="390"/>
      <c r="D50" s="273"/>
      <c r="E50" s="273">
        <f t="shared" si="45"/>
        <v>0</v>
      </c>
      <c r="F50" s="273">
        <f t="shared" si="46"/>
        <v>0</v>
      </c>
      <c r="G50" s="273">
        <v>30000000</v>
      </c>
      <c r="H50" s="273">
        <f t="shared" si="41"/>
        <v>3000000</v>
      </c>
      <c r="I50" s="273">
        <f t="shared" si="42"/>
        <v>33000000</v>
      </c>
      <c r="J50" s="273">
        <f t="shared" si="43"/>
        <v>30000000</v>
      </c>
      <c r="K50" s="273">
        <f t="shared" si="43"/>
        <v>3000000</v>
      </c>
      <c r="L50" s="273">
        <f t="shared" si="44"/>
        <v>33000000</v>
      </c>
      <c r="M50" s="273"/>
      <c r="N50" s="274"/>
      <c r="O50" s="273"/>
      <c r="P50" s="273"/>
      <c r="Q50" s="393" t="s">
        <v>460</v>
      </c>
    </row>
    <row r="51" spans="1:17" ht="20.45" customHeight="1">
      <c r="A51" s="767"/>
      <c r="B51" s="390" t="s">
        <v>462</v>
      </c>
      <c r="C51" s="390"/>
      <c r="D51" s="273"/>
      <c r="E51" s="273">
        <f t="shared" si="45"/>
        <v>0</v>
      </c>
      <c r="F51" s="273">
        <f t="shared" si="46"/>
        <v>0</v>
      </c>
      <c r="G51" s="273">
        <v>600000</v>
      </c>
      <c r="H51" s="273">
        <f t="shared" si="41"/>
        <v>60000</v>
      </c>
      <c r="I51" s="273">
        <f t="shared" si="42"/>
        <v>660000</v>
      </c>
      <c r="J51" s="273">
        <f t="shared" si="43"/>
        <v>600000</v>
      </c>
      <c r="K51" s="273">
        <f t="shared" si="43"/>
        <v>60000</v>
      </c>
      <c r="L51" s="273">
        <f t="shared" si="44"/>
        <v>660000</v>
      </c>
      <c r="M51" s="273"/>
      <c r="N51" s="274"/>
      <c r="O51" s="273"/>
      <c r="P51" s="273"/>
      <c r="Q51" s="393" t="s">
        <v>464</v>
      </c>
    </row>
    <row r="52" spans="1:17" ht="20.45" customHeight="1">
      <c r="A52" s="767"/>
      <c r="B52" s="390" t="s">
        <v>458</v>
      </c>
      <c r="C52" s="390"/>
      <c r="D52" s="273"/>
      <c r="E52" s="273">
        <f t="shared" si="45"/>
        <v>0</v>
      </c>
      <c r="F52" s="273">
        <f t="shared" si="46"/>
        <v>0</v>
      </c>
      <c r="G52" s="273">
        <v>2605000</v>
      </c>
      <c r="H52" s="273">
        <f t="shared" si="41"/>
        <v>260500</v>
      </c>
      <c r="I52" s="273">
        <f t="shared" si="42"/>
        <v>2865500</v>
      </c>
      <c r="J52" s="273">
        <f t="shared" si="43"/>
        <v>2605000</v>
      </c>
      <c r="K52" s="273">
        <f t="shared" si="43"/>
        <v>260500</v>
      </c>
      <c r="L52" s="273">
        <f t="shared" si="44"/>
        <v>2865500</v>
      </c>
      <c r="M52" s="273"/>
      <c r="N52" s="274"/>
      <c r="O52" s="273"/>
      <c r="P52" s="273"/>
      <c r="Q52" s="393" t="s">
        <v>460</v>
      </c>
    </row>
    <row r="53" spans="1:17" ht="20.45" customHeight="1">
      <c r="A53" s="767"/>
      <c r="B53" s="390" t="s">
        <v>466</v>
      </c>
      <c r="C53" s="390"/>
      <c r="D53" s="273"/>
      <c r="E53" s="273">
        <f t="shared" si="45"/>
        <v>0</v>
      </c>
      <c r="F53" s="273">
        <f t="shared" si="46"/>
        <v>0</v>
      </c>
      <c r="G53" s="273">
        <v>2200000</v>
      </c>
      <c r="H53" s="273">
        <f t="shared" si="41"/>
        <v>220000</v>
      </c>
      <c r="I53" s="273">
        <f t="shared" si="42"/>
        <v>2420000</v>
      </c>
      <c r="J53" s="273">
        <f t="shared" si="43"/>
        <v>2200000</v>
      </c>
      <c r="K53" s="273">
        <f t="shared" si="43"/>
        <v>220000</v>
      </c>
      <c r="L53" s="273">
        <f t="shared" si="44"/>
        <v>2420000</v>
      </c>
      <c r="M53" s="273"/>
      <c r="N53" s="274"/>
      <c r="O53" s="273"/>
      <c r="P53" s="273"/>
      <c r="Q53" s="393" t="s">
        <v>468</v>
      </c>
    </row>
    <row r="54" spans="1:17" ht="20.45" customHeight="1">
      <c r="A54" s="767"/>
      <c r="B54" s="390"/>
      <c r="C54" s="390"/>
      <c r="D54" s="273"/>
      <c r="E54" s="273">
        <f t="shared" si="45"/>
        <v>0</v>
      </c>
      <c r="F54" s="273">
        <f t="shared" si="46"/>
        <v>0</v>
      </c>
      <c r="G54" s="273"/>
      <c r="H54" s="273"/>
      <c r="I54" s="273"/>
      <c r="J54" s="273">
        <f t="shared" si="43"/>
        <v>0</v>
      </c>
      <c r="K54" s="273">
        <f t="shared" si="43"/>
        <v>0</v>
      </c>
      <c r="L54" s="273">
        <f t="shared" si="44"/>
        <v>0</v>
      </c>
      <c r="M54" s="273"/>
      <c r="N54" s="274"/>
      <c r="O54" s="273"/>
      <c r="P54" s="273"/>
      <c r="Q54" s="393"/>
    </row>
    <row r="55" spans="1:17" ht="20.45" hidden="1" customHeight="1">
      <c r="A55" s="767"/>
      <c r="B55" s="390"/>
      <c r="C55" s="390"/>
      <c r="D55" s="273"/>
      <c r="E55" s="273">
        <f t="shared" ref="E55:E56" si="47">D55*0.1</f>
        <v>0</v>
      </c>
      <c r="F55" s="273">
        <f t="shared" ref="F55:F56" si="48">D55+E55</f>
        <v>0</v>
      </c>
      <c r="G55" s="273"/>
      <c r="H55" s="273"/>
      <c r="I55" s="273"/>
      <c r="J55" s="273">
        <f t="shared" si="43"/>
        <v>0</v>
      </c>
      <c r="K55" s="273">
        <f t="shared" si="43"/>
        <v>0</v>
      </c>
      <c r="L55" s="273">
        <f t="shared" si="44"/>
        <v>0</v>
      </c>
      <c r="M55" s="273"/>
      <c r="N55" s="274"/>
      <c r="O55" s="273"/>
      <c r="P55" s="273"/>
      <c r="Q55" s="393"/>
    </row>
    <row r="56" spans="1:17" ht="20.45" hidden="1" customHeight="1">
      <c r="A56" s="768"/>
      <c r="B56" s="392"/>
      <c r="C56" s="392"/>
      <c r="D56" s="275"/>
      <c r="E56" s="273">
        <f t="shared" si="47"/>
        <v>0</v>
      </c>
      <c r="F56" s="273">
        <f t="shared" si="48"/>
        <v>0</v>
      </c>
      <c r="G56" s="275"/>
      <c r="H56" s="275">
        <f>G56*0.1</f>
        <v>0</v>
      </c>
      <c r="I56" s="275">
        <f t="shared" ref="I56" si="49">G56+H56</f>
        <v>0</v>
      </c>
      <c r="J56" s="273">
        <f t="shared" si="43"/>
        <v>0</v>
      </c>
      <c r="K56" s="273">
        <f t="shared" si="43"/>
        <v>0</v>
      </c>
      <c r="L56" s="273">
        <f t="shared" si="44"/>
        <v>0</v>
      </c>
      <c r="M56" s="275"/>
      <c r="N56" s="276"/>
      <c r="O56" s="275"/>
      <c r="P56" s="275"/>
      <c r="Q56" s="398"/>
    </row>
    <row r="57" spans="1:17" ht="20.45" customHeight="1" thickBot="1">
      <c r="A57" s="406" t="s">
        <v>406</v>
      </c>
      <c r="B57" s="407"/>
      <c r="C57" s="407"/>
      <c r="D57" s="408">
        <f>SUM(D47:D56)</f>
        <v>0</v>
      </c>
      <c r="E57" s="408">
        <f t="shared" ref="E57:L57" si="50">SUM(E47:E56)</f>
        <v>0</v>
      </c>
      <c r="F57" s="408">
        <f t="shared" si="50"/>
        <v>0</v>
      </c>
      <c r="G57" s="408">
        <f t="shared" si="50"/>
        <v>101505000</v>
      </c>
      <c r="H57" s="408">
        <f t="shared" si="50"/>
        <v>10150500</v>
      </c>
      <c r="I57" s="408">
        <f t="shared" si="50"/>
        <v>111655500</v>
      </c>
      <c r="J57" s="408">
        <f t="shared" si="50"/>
        <v>101505000</v>
      </c>
      <c r="K57" s="408">
        <f t="shared" si="50"/>
        <v>10150500</v>
      </c>
      <c r="L57" s="408">
        <f t="shared" si="50"/>
        <v>111655500</v>
      </c>
      <c r="M57" s="408"/>
      <c r="N57" s="409"/>
      <c r="O57" s="408"/>
      <c r="P57" s="408"/>
      <c r="Q57" s="410"/>
    </row>
    <row r="58" spans="1:17" ht="20.45" customHeight="1">
      <c r="A58" s="764" t="s">
        <v>477</v>
      </c>
      <c r="B58" s="389" t="s">
        <v>421</v>
      </c>
      <c r="C58" s="390"/>
      <c r="D58" s="273">
        <v>220000</v>
      </c>
      <c r="E58" s="273">
        <f>D58*0.1</f>
        <v>22000</v>
      </c>
      <c r="F58" s="273">
        <f>D58+E58</f>
        <v>242000</v>
      </c>
      <c r="G58" s="273"/>
      <c r="H58" s="273">
        <f>G58*0.1</f>
        <v>0</v>
      </c>
      <c r="I58" s="273">
        <f>G58+H58</f>
        <v>0</v>
      </c>
      <c r="J58" s="273">
        <f>D58+G58</f>
        <v>220000</v>
      </c>
      <c r="K58" s="273">
        <f>E58+H58</f>
        <v>22000</v>
      </c>
      <c r="L58" s="273">
        <f>J58+K58</f>
        <v>242000</v>
      </c>
      <c r="M58" s="273"/>
      <c r="N58" s="274"/>
      <c r="O58" s="273"/>
      <c r="P58" s="273"/>
      <c r="Q58" s="393" t="s">
        <v>423</v>
      </c>
    </row>
    <row r="59" spans="1:17" ht="20.45" customHeight="1">
      <c r="A59" s="764"/>
      <c r="B59" s="392" t="s">
        <v>430</v>
      </c>
      <c r="C59" s="392"/>
      <c r="D59" s="275">
        <v>270500</v>
      </c>
      <c r="E59" s="273">
        <f>D59*0.1</f>
        <v>27050</v>
      </c>
      <c r="F59" s="273">
        <f>D59+E59</f>
        <v>297550</v>
      </c>
      <c r="G59" s="275"/>
      <c r="H59" s="273">
        <f t="shared" ref="H59:H64" si="51">G59*0.1</f>
        <v>0</v>
      </c>
      <c r="I59" s="273">
        <f t="shared" ref="I59:I64" si="52">G59+H59</f>
        <v>0</v>
      </c>
      <c r="J59" s="273">
        <f t="shared" ref="J59:J67" si="53">D59+G59</f>
        <v>270500</v>
      </c>
      <c r="K59" s="273">
        <f t="shared" ref="K59:K67" si="54">E59+H59</f>
        <v>27050</v>
      </c>
      <c r="L59" s="273">
        <f t="shared" ref="L59:L67" si="55">J59+K59</f>
        <v>297550</v>
      </c>
      <c r="M59" s="273"/>
      <c r="N59" s="274"/>
      <c r="O59" s="273"/>
      <c r="P59" s="273"/>
      <c r="Q59" s="393" t="s">
        <v>432</v>
      </c>
    </row>
    <row r="60" spans="1:17" ht="20.45" hidden="1" customHeight="1">
      <c r="A60" s="764"/>
      <c r="B60" s="390"/>
      <c r="C60" s="390"/>
      <c r="D60" s="273"/>
      <c r="E60" s="273">
        <f t="shared" ref="E60:E62" si="56">D60*0.1</f>
        <v>0</v>
      </c>
      <c r="F60" s="273">
        <f t="shared" ref="F60:F62" si="57">D60+E60</f>
        <v>0</v>
      </c>
      <c r="G60" s="273"/>
      <c r="H60" s="273">
        <f t="shared" si="51"/>
        <v>0</v>
      </c>
      <c r="I60" s="273">
        <f t="shared" si="52"/>
        <v>0</v>
      </c>
      <c r="J60" s="273">
        <f t="shared" si="53"/>
        <v>0</v>
      </c>
      <c r="K60" s="273">
        <f t="shared" si="54"/>
        <v>0</v>
      </c>
      <c r="L60" s="273">
        <f t="shared" si="55"/>
        <v>0</v>
      </c>
      <c r="M60" s="273"/>
      <c r="N60" s="274"/>
      <c r="O60" s="273"/>
      <c r="P60" s="273"/>
      <c r="Q60" s="393"/>
    </row>
    <row r="61" spans="1:17" ht="20.45" hidden="1" customHeight="1">
      <c r="A61" s="764"/>
      <c r="B61" s="390"/>
      <c r="C61" s="390"/>
      <c r="D61" s="273"/>
      <c r="E61" s="273">
        <f t="shared" si="56"/>
        <v>0</v>
      </c>
      <c r="F61" s="273">
        <f t="shared" si="57"/>
        <v>0</v>
      </c>
      <c r="G61" s="273"/>
      <c r="H61" s="273">
        <f t="shared" si="51"/>
        <v>0</v>
      </c>
      <c r="I61" s="273">
        <f t="shared" si="52"/>
        <v>0</v>
      </c>
      <c r="J61" s="273">
        <f t="shared" si="53"/>
        <v>0</v>
      </c>
      <c r="K61" s="273">
        <f t="shared" si="54"/>
        <v>0</v>
      </c>
      <c r="L61" s="273">
        <f t="shared" si="55"/>
        <v>0</v>
      </c>
      <c r="M61" s="273"/>
      <c r="N61" s="274"/>
      <c r="O61" s="273"/>
      <c r="P61" s="273"/>
      <c r="Q61" s="393"/>
    </row>
    <row r="62" spans="1:17" ht="20.45" hidden="1" customHeight="1">
      <c r="A62" s="764"/>
      <c r="B62" s="390"/>
      <c r="C62" s="390"/>
      <c r="D62" s="273"/>
      <c r="E62" s="273">
        <f t="shared" si="56"/>
        <v>0</v>
      </c>
      <c r="F62" s="273">
        <f t="shared" si="57"/>
        <v>0</v>
      </c>
      <c r="G62" s="273"/>
      <c r="H62" s="273">
        <f t="shared" si="51"/>
        <v>0</v>
      </c>
      <c r="I62" s="273">
        <f t="shared" si="52"/>
        <v>0</v>
      </c>
      <c r="J62" s="273">
        <f t="shared" si="53"/>
        <v>0</v>
      </c>
      <c r="K62" s="273">
        <f t="shared" si="54"/>
        <v>0</v>
      </c>
      <c r="L62" s="273">
        <f t="shared" si="55"/>
        <v>0</v>
      </c>
      <c r="M62" s="273"/>
      <c r="N62" s="274"/>
      <c r="O62" s="273"/>
      <c r="P62" s="273"/>
      <c r="Q62" s="393"/>
    </row>
    <row r="63" spans="1:17" ht="20.45" hidden="1" customHeight="1">
      <c r="A63" s="764"/>
      <c r="B63" s="390"/>
      <c r="C63" s="390"/>
      <c r="D63" s="273"/>
      <c r="E63" s="273">
        <f t="shared" ref="E63:E66" si="58">D63*0.1</f>
        <v>0</v>
      </c>
      <c r="F63" s="273">
        <f t="shared" ref="F63:F67" si="59">D63+E63</f>
        <v>0</v>
      </c>
      <c r="G63" s="273"/>
      <c r="H63" s="273">
        <f t="shared" si="51"/>
        <v>0</v>
      </c>
      <c r="I63" s="273">
        <f t="shared" si="52"/>
        <v>0</v>
      </c>
      <c r="J63" s="273">
        <f t="shared" si="53"/>
        <v>0</v>
      </c>
      <c r="K63" s="273">
        <f t="shared" si="54"/>
        <v>0</v>
      </c>
      <c r="L63" s="273">
        <f t="shared" si="55"/>
        <v>0</v>
      </c>
      <c r="M63" s="273"/>
      <c r="N63" s="274"/>
      <c r="O63" s="273"/>
      <c r="P63" s="273"/>
      <c r="Q63" s="393"/>
    </row>
    <row r="64" spans="1:17" ht="20.45" hidden="1" customHeight="1">
      <c r="A64" s="764"/>
      <c r="B64" s="390"/>
      <c r="C64" s="390"/>
      <c r="D64" s="273"/>
      <c r="E64" s="273">
        <f t="shared" si="58"/>
        <v>0</v>
      </c>
      <c r="F64" s="273">
        <f t="shared" si="59"/>
        <v>0</v>
      </c>
      <c r="G64" s="273"/>
      <c r="H64" s="273">
        <f t="shared" si="51"/>
        <v>0</v>
      </c>
      <c r="I64" s="273">
        <f t="shared" si="52"/>
        <v>0</v>
      </c>
      <c r="J64" s="273">
        <f t="shared" si="53"/>
        <v>0</v>
      </c>
      <c r="K64" s="273">
        <f t="shared" si="54"/>
        <v>0</v>
      </c>
      <c r="L64" s="273">
        <f t="shared" si="55"/>
        <v>0</v>
      </c>
      <c r="M64" s="273"/>
      <c r="N64" s="274"/>
      <c r="O64" s="273"/>
      <c r="P64" s="273"/>
      <c r="Q64" s="393"/>
    </row>
    <row r="65" spans="1:17" ht="20.45" hidden="1" customHeight="1">
      <c r="A65" s="764"/>
      <c r="B65" s="390"/>
      <c r="C65" s="390"/>
      <c r="D65" s="273"/>
      <c r="E65" s="273">
        <f t="shared" si="58"/>
        <v>0</v>
      </c>
      <c r="F65" s="273">
        <f t="shared" si="59"/>
        <v>0</v>
      </c>
      <c r="G65" s="273"/>
      <c r="H65" s="273">
        <f t="shared" ref="H65:H66" si="60">G65*0.1</f>
        <v>0</v>
      </c>
      <c r="I65" s="273">
        <f t="shared" ref="I65:I66" si="61">G65+H65</f>
        <v>0</v>
      </c>
      <c r="J65" s="273">
        <f t="shared" si="53"/>
        <v>0</v>
      </c>
      <c r="K65" s="273">
        <f t="shared" si="54"/>
        <v>0</v>
      </c>
      <c r="L65" s="273">
        <f t="shared" si="55"/>
        <v>0</v>
      </c>
      <c r="M65" s="273"/>
      <c r="N65" s="274"/>
      <c r="O65" s="273"/>
      <c r="P65" s="273"/>
      <c r="Q65" s="393"/>
    </row>
    <row r="66" spans="1:17" ht="20.45" customHeight="1">
      <c r="A66" s="764"/>
      <c r="B66" s="390"/>
      <c r="C66" s="390"/>
      <c r="D66" s="273"/>
      <c r="E66" s="273">
        <f t="shared" si="58"/>
        <v>0</v>
      </c>
      <c r="F66" s="273">
        <f t="shared" si="59"/>
        <v>0</v>
      </c>
      <c r="G66" s="273"/>
      <c r="H66" s="273">
        <f t="shared" si="60"/>
        <v>0</v>
      </c>
      <c r="I66" s="273">
        <f t="shared" si="61"/>
        <v>0</v>
      </c>
      <c r="J66" s="273">
        <f t="shared" si="53"/>
        <v>0</v>
      </c>
      <c r="K66" s="273">
        <f t="shared" si="54"/>
        <v>0</v>
      </c>
      <c r="L66" s="273">
        <f t="shared" si="55"/>
        <v>0</v>
      </c>
      <c r="M66" s="273"/>
      <c r="N66" s="274"/>
      <c r="O66" s="273"/>
      <c r="P66" s="273"/>
      <c r="Q66" s="393"/>
    </row>
    <row r="67" spans="1:17" ht="20.45" customHeight="1">
      <c r="A67" s="765"/>
      <c r="B67" s="392" t="s">
        <v>481</v>
      </c>
      <c r="C67" s="392"/>
      <c r="D67" s="275">
        <v>350000</v>
      </c>
      <c r="E67" s="273"/>
      <c r="F67" s="273">
        <f t="shared" si="59"/>
        <v>350000</v>
      </c>
      <c r="G67" s="275">
        <v>350000</v>
      </c>
      <c r="H67" s="275"/>
      <c r="I67" s="275">
        <f t="shared" ref="I67" si="62">G67+H67</f>
        <v>350000</v>
      </c>
      <c r="J67" s="273">
        <f t="shared" si="53"/>
        <v>700000</v>
      </c>
      <c r="K67" s="273">
        <f t="shared" si="54"/>
        <v>0</v>
      </c>
      <c r="L67" s="273">
        <f t="shared" si="55"/>
        <v>700000</v>
      </c>
      <c r="M67" s="275"/>
      <c r="N67" s="276"/>
      <c r="O67" s="275"/>
      <c r="P67" s="275"/>
      <c r="Q67" s="398"/>
    </row>
    <row r="68" spans="1:17" ht="20.45" customHeight="1" thickBot="1">
      <c r="A68" s="406" t="s">
        <v>406</v>
      </c>
      <c r="B68" s="407"/>
      <c r="C68" s="407"/>
      <c r="D68" s="408">
        <f>SUM(D58:D67)</f>
        <v>840500</v>
      </c>
      <c r="E68" s="408">
        <f t="shared" ref="E68:L68" si="63">SUM(E58:E67)</f>
        <v>49050</v>
      </c>
      <c r="F68" s="408">
        <f t="shared" si="63"/>
        <v>889550</v>
      </c>
      <c r="G68" s="408">
        <f t="shared" si="63"/>
        <v>350000</v>
      </c>
      <c r="H68" s="408">
        <f t="shared" si="63"/>
        <v>0</v>
      </c>
      <c r="I68" s="408">
        <f t="shared" si="63"/>
        <v>350000</v>
      </c>
      <c r="J68" s="408">
        <f t="shared" si="63"/>
        <v>1190500</v>
      </c>
      <c r="K68" s="408">
        <f t="shared" si="63"/>
        <v>49050</v>
      </c>
      <c r="L68" s="408">
        <f t="shared" si="63"/>
        <v>1239550</v>
      </c>
      <c r="M68" s="408"/>
      <c r="N68" s="409"/>
      <c r="O68" s="408"/>
      <c r="P68" s="408"/>
      <c r="Q68" s="410"/>
    </row>
    <row r="69" spans="1:17" ht="20.45" customHeight="1">
      <c r="A69" s="764" t="s">
        <v>476</v>
      </c>
      <c r="B69" s="389" t="s">
        <v>425</v>
      </c>
      <c r="C69" s="390"/>
      <c r="D69" s="273">
        <v>4395000</v>
      </c>
      <c r="E69" s="273">
        <f>D69*0.1</f>
        <v>439500</v>
      </c>
      <c r="F69" s="273">
        <f>D69+E69</f>
        <v>4834500</v>
      </c>
      <c r="G69" s="273"/>
      <c r="H69" s="273">
        <f>G69*0.1</f>
        <v>0</v>
      </c>
      <c r="I69" s="273">
        <f>G69+H69</f>
        <v>0</v>
      </c>
      <c r="J69" s="273">
        <f>D69+G69</f>
        <v>4395000</v>
      </c>
      <c r="K69" s="273">
        <f>E69+H69</f>
        <v>439500</v>
      </c>
      <c r="L69" s="273">
        <f>J69+K69</f>
        <v>4834500</v>
      </c>
      <c r="M69" s="273"/>
      <c r="N69" s="274"/>
      <c r="O69" s="273"/>
      <c r="P69" s="273"/>
      <c r="Q69" s="393" t="s">
        <v>427</v>
      </c>
    </row>
    <row r="70" spans="1:17" ht="20.45" customHeight="1">
      <c r="A70" s="764"/>
      <c r="B70" s="392" t="s">
        <v>454</v>
      </c>
      <c r="C70" s="392"/>
      <c r="D70" s="275"/>
      <c r="E70" s="275"/>
      <c r="F70" s="275"/>
      <c r="G70" s="275">
        <v>650000</v>
      </c>
      <c r="H70" s="273">
        <f t="shared" ref="H70:H75" si="64">G70*0.1</f>
        <v>65000</v>
      </c>
      <c r="I70" s="273">
        <f t="shared" ref="I70:I75" si="65">G70+H70</f>
        <v>715000</v>
      </c>
      <c r="J70" s="273">
        <f t="shared" ref="J70:J78" si="66">D70+G70</f>
        <v>650000</v>
      </c>
      <c r="K70" s="273">
        <f t="shared" ref="K70:K78" si="67">E70+H70</f>
        <v>65000</v>
      </c>
      <c r="L70" s="273">
        <f t="shared" ref="L70:L78" si="68">J70+K70</f>
        <v>715000</v>
      </c>
      <c r="M70" s="273"/>
      <c r="N70" s="274"/>
      <c r="O70" s="273"/>
      <c r="P70" s="273"/>
      <c r="Q70" s="393" t="s">
        <v>456</v>
      </c>
    </row>
    <row r="71" spans="1:17" ht="20.45" customHeight="1">
      <c r="A71" s="764"/>
      <c r="B71" s="390"/>
      <c r="C71" s="390"/>
      <c r="D71" s="273"/>
      <c r="E71" s="273">
        <f t="shared" ref="E71:E76" si="69">D71*0.1</f>
        <v>0</v>
      </c>
      <c r="F71" s="273">
        <f t="shared" ref="F71:F77" si="70">D71+E71</f>
        <v>0</v>
      </c>
      <c r="G71" s="273"/>
      <c r="H71" s="273">
        <f t="shared" si="64"/>
        <v>0</v>
      </c>
      <c r="I71" s="273">
        <f t="shared" si="65"/>
        <v>0</v>
      </c>
      <c r="J71" s="273">
        <f t="shared" si="66"/>
        <v>0</v>
      </c>
      <c r="K71" s="273">
        <f t="shared" si="67"/>
        <v>0</v>
      </c>
      <c r="L71" s="273">
        <f t="shared" si="68"/>
        <v>0</v>
      </c>
      <c r="M71" s="273"/>
      <c r="N71" s="274"/>
      <c r="O71" s="273"/>
      <c r="P71" s="273"/>
      <c r="Q71" s="393"/>
    </row>
    <row r="72" spans="1:17" ht="20.45" hidden="1" customHeight="1">
      <c r="A72" s="764"/>
      <c r="B72" s="390"/>
      <c r="C72" s="390"/>
      <c r="D72" s="273"/>
      <c r="E72" s="273">
        <f t="shared" si="69"/>
        <v>0</v>
      </c>
      <c r="F72" s="273">
        <f t="shared" si="70"/>
        <v>0</v>
      </c>
      <c r="G72" s="273"/>
      <c r="H72" s="273">
        <f t="shared" si="64"/>
        <v>0</v>
      </c>
      <c r="I72" s="273">
        <f t="shared" si="65"/>
        <v>0</v>
      </c>
      <c r="J72" s="273">
        <f t="shared" si="66"/>
        <v>0</v>
      </c>
      <c r="K72" s="273">
        <f t="shared" si="67"/>
        <v>0</v>
      </c>
      <c r="L72" s="273">
        <f t="shared" si="68"/>
        <v>0</v>
      </c>
      <c r="M72" s="273"/>
      <c r="N72" s="274"/>
      <c r="O72" s="273"/>
      <c r="P72" s="273"/>
      <c r="Q72" s="393"/>
    </row>
    <row r="73" spans="1:17" ht="20.45" hidden="1" customHeight="1">
      <c r="A73" s="764"/>
      <c r="B73" s="390"/>
      <c r="C73" s="390"/>
      <c r="D73" s="273"/>
      <c r="E73" s="273">
        <f t="shared" si="69"/>
        <v>0</v>
      </c>
      <c r="F73" s="273">
        <f t="shared" si="70"/>
        <v>0</v>
      </c>
      <c r="G73" s="273"/>
      <c r="H73" s="273">
        <f t="shared" si="64"/>
        <v>0</v>
      </c>
      <c r="I73" s="273">
        <f t="shared" si="65"/>
        <v>0</v>
      </c>
      <c r="J73" s="273">
        <f t="shared" si="66"/>
        <v>0</v>
      </c>
      <c r="K73" s="273">
        <f t="shared" si="67"/>
        <v>0</v>
      </c>
      <c r="L73" s="273">
        <f t="shared" si="68"/>
        <v>0</v>
      </c>
      <c r="M73" s="273"/>
      <c r="N73" s="274"/>
      <c r="O73" s="273"/>
      <c r="P73" s="273"/>
      <c r="Q73" s="393"/>
    </row>
    <row r="74" spans="1:17" ht="20.45" hidden="1" customHeight="1">
      <c r="A74" s="764"/>
      <c r="B74" s="390"/>
      <c r="C74" s="390"/>
      <c r="D74" s="273"/>
      <c r="E74" s="273">
        <f t="shared" si="69"/>
        <v>0</v>
      </c>
      <c r="F74" s="273">
        <f t="shared" si="70"/>
        <v>0</v>
      </c>
      <c r="G74" s="273"/>
      <c r="H74" s="273">
        <f t="shared" si="64"/>
        <v>0</v>
      </c>
      <c r="I74" s="273">
        <f t="shared" si="65"/>
        <v>0</v>
      </c>
      <c r="J74" s="273">
        <f t="shared" si="66"/>
        <v>0</v>
      </c>
      <c r="K74" s="273">
        <f t="shared" si="67"/>
        <v>0</v>
      </c>
      <c r="L74" s="273">
        <f t="shared" si="68"/>
        <v>0</v>
      </c>
      <c r="M74" s="273"/>
      <c r="N74" s="274"/>
      <c r="O74" s="273"/>
      <c r="P74" s="273"/>
      <c r="Q74" s="393"/>
    </row>
    <row r="75" spans="1:17" ht="20.45" hidden="1" customHeight="1">
      <c r="A75" s="764"/>
      <c r="B75" s="390"/>
      <c r="C75" s="390"/>
      <c r="D75" s="273"/>
      <c r="E75" s="273">
        <f t="shared" si="69"/>
        <v>0</v>
      </c>
      <c r="F75" s="273">
        <f t="shared" si="70"/>
        <v>0</v>
      </c>
      <c r="G75" s="273"/>
      <c r="H75" s="273">
        <f t="shared" si="64"/>
        <v>0</v>
      </c>
      <c r="I75" s="273">
        <f t="shared" si="65"/>
        <v>0</v>
      </c>
      <c r="J75" s="273">
        <f t="shared" si="66"/>
        <v>0</v>
      </c>
      <c r="K75" s="273">
        <f t="shared" si="67"/>
        <v>0</v>
      </c>
      <c r="L75" s="273">
        <f t="shared" si="68"/>
        <v>0</v>
      </c>
      <c r="M75" s="273"/>
      <c r="N75" s="274"/>
      <c r="O75" s="273"/>
      <c r="P75" s="273"/>
      <c r="Q75" s="393"/>
    </row>
    <row r="76" spans="1:17" ht="20.45" hidden="1" customHeight="1">
      <c r="A76" s="764"/>
      <c r="B76" s="390"/>
      <c r="C76" s="390"/>
      <c r="D76" s="273"/>
      <c r="E76" s="273">
        <f t="shared" si="69"/>
        <v>0</v>
      </c>
      <c r="F76" s="273">
        <f t="shared" si="70"/>
        <v>0</v>
      </c>
      <c r="G76" s="273"/>
      <c r="H76" s="273"/>
      <c r="I76" s="273"/>
      <c r="J76" s="273">
        <f t="shared" si="66"/>
        <v>0</v>
      </c>
      <c r="K76" s="273">
        <f t="shared" si="67"/>
        <v>0</v>
      </c>
      <c r="L76" s="273">
        <f t="shared" si="68"/>
        <v>0</v>
      </c>
      <c r="M76" s="273"/>
      <c r="N76" s="274"/>
      <c r="O76" s="273"/>
      <c r="P76" s="273"/>
      <c r="Q76" s="393"/>
    </row>
    <row r="77" spans="1:17" ht="20.45" hidden="1" customHeight="1">
      <c r="A77" s="764"/>
      <c r="B77" s="390"/>
      <c r="C77" s="390"/>
      <c r="D77" s="273"/>
      <c r="E77" s="273"/>
      <c r="F77" s="273">
        <f t="shared" si="70"/>
        <v>0</v>
      </c>
      <c r="G77" s="273"/>
      <c r="H77" s="273"/>
      <c r="I77" s="273"/>
      <c r="J77" s="273">
        <f t="shared" si="66"/>
        <v>0</v>
      </c>
      <c r="K77" s="273">
        <f t="shared" si="67"/>
        <v>0</v>
      </c>
      <c r="L77" s="273">
        <f t="shared" si="68"/>
        <v>0</v>
      </c>
      <c r="M77" s="273"/>
      <c r="N77" s="274"/>
      <c r="O77" s="273"/>
      <c r="P77" s="273"/>
      <c r="Q77" s="393"/>
    </row>
    <row r="78" spans="1:17" ht="20.45" hidden="1" customHeight="1">
      <c r="A78" s="765"/>
      <c r="B78" s="392"/>
      <c r="C78" s="392"/>
      <c r="D78" s="275"/>
      <c r="E78" s="275"/>
      <c r="F78" s="275"/>
      <c r="G78" s="275"/>
      <c r="H78" s="275">
        <f>G78*0.1</f>
        <v>0</v>
      </c>
      <c r="I78" s="275">
        <f t="shared" ref="I78" si="71">G78+H78</f>
        <v>0</v>
      </c>
      <c r="J78" s="273">
        <f t="shared" si="66"/>
        <v>0</v>
      </c>
      <c r="K78" s="273">
        <f t="shared" si="67"/>
        <v>0</v>
      </c>
      <c r="L78" s="273">
        <f t="shared" si="68"/>
        <v>0</v>
      </c>
      <c r="M78" s="275"/>
      <c r="N78" s="276"/>
      <c r="O78" s="275"/>
      <c r="P78" s="275"/>
      <c r="Q78" s="398"/>
    </row>
    <row r="79" spans="1:17" ht="20.45" customHeight="1" thickBot="1">
      <c r="A79" s="406" t="s">
        <v>406</v>
      </c>
      <c r="B79" s="407"/>
      <c r="C79" s="407"/>
      <c r="D79" s="408">
        <f>SUM(D69:D78)</f>
        <v>4395000</v>
      </c>
      <c r="E79" s="408">
        <f t="shared" ref="E79:L79" si="72">SUM(E69:E78)</f>
        <v>439500</v>
      </c>
      <c r="F79" s="408">
        <f t="shared" si="72"/>
        <v>4834500</v>
      </c>
      <c r="G79" s="408">
        <f t="shared" si="72"/>
        <v>650000</v>
      </c>
      <c r="H79" s="408">
        <f t="shared" si="72"/>
        <v>65000</v>
      </c>
      <c r="I79" s="408">
        <f t="shared" si="72"/>
        <v>715000</v>
      </c>
      <c r="J79" s="408">
        <f t="shared" si="72"/>
        <v>5045000</v>
      </c>
      <c r="K79" s="408">
        <f t="shared" si="72"/>
        <v>504500</v>
      </c>
      <c r="L79" s="408">
        <f t="shared" si="72"/>
        <v>5549500</v>
      </c>
      <c r="M79" s="408"/>
      <c r="N79" s="409"/>
      <c r="O79" s="408"/>
      <c r="P79" s="408"/>
      <c r="Q79" s="410"/>
    </row>
    <row r="80" spans="1:17">
      <c r="G80" s="289"/>
      <c r="H80" s="289"/>
      <c r="I80" s="289"/>
      <c r="J80" s="289"/>
      <c r="K80" s="289"/>
      <c r="L80" s="289"/>
    </row>
  </sheetData>
  <mergeCells count="19">
    <mergeCell ref="A58:A67"/>
    <mergeCell ref="A69:A78"/>
    <mergeCell ref="A17:A25"/>
    <mergeCell ref="P3:P4"/>
    <mergeCell ref="Q3:Q4"/>
    <mergeCell ref="A47:A56"/>
    <mergeCell ref="A37:A45"/>
    <mergeCell ref="A5:A15"/>
    <mergeCell ref="A27:A35"/>
    <mergeCell ref="A1:Q1"/>
    <mergeCell ref="A3:A4"/>
    <mergeCell ref="B3:B4"/>
    <mergeCell ref="C3:C4"/>
    <mergeCell ref="D3:F3"/>
    <mergeCell ref="G3:I3"/>
    <mergeCell ref="J3:L3"/>
    <mergeCell ref="M3:M4"/>
    <mergeCell ref="N3:N4"/>
    <mergeCell ref="O3:O4"/>
  </mergeCells>
  <phoneticPr fontId="142" type="noConversion"/>
  <printOptions horizontalCentered="1"/>
  <pageMargins left="0.39370078740157483" right="0.39370078740157483" top="0.39370078740157483" bottom="0" header="0.31496062992125984" footer="0.31496062992125984"/>
  <pageSetup paperSize="9" scale="63" orientation="landscape" r:id="rId1"/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2060"/>
  </sheetPr>
  <dimension ref="A1:M66"/>
  <sheetViews>
    <sheetView workbookViewId="0"/>
  </sheetViews>
  <sheetFormatPr defaultRowHeight="13.5"/>
  <cols>
    <col min="1" max="1" width="4.875" style="4" customWidth="1"/>
    <col min="2" max="2" width="3.625" style="4" customWidth="1"/>
    <col min="3" max="3" width="11.75" style="4" customWidth="1"/>
    <col min="4" max="4" width="16.375" style="4" customWidth="1"/>
    <col min="5" max="5" width="16.625" style="4" customWidth="1"/>
    <col min="6" max="6" width="14.875" style="4" customWidth="1"/>
    <col min="7" max="7" width="12.375" style="4" customWidth="1"/>
    <col min="8" max="9" width="11.375" style="4" customWidth="1"/>
    <col min="10" max="10" width="14.375" style="4" customWidth="1"/>
    <col min="11" max="11" width="13.875" style="4" customWidth="1"/>
    <col min="12" max="12" width="9.5" style="4" customWidth="1"/>
    <col min="13" max="13" width="13.875" style="106" bestFit="1" customWidth="1"/>
    <col min="14" max="16384" width="9" style="4"/>
  </cols>
  <sheetData>
    <row r="1" spans="1:13" ht="23.25" customHeight="1">
      <c r="G1" s="775"/>
      <c r="H1" s="44"/>
      <c r="I1" s="44"/>
      <c r="J1" s="44"/>
      <c r="K1" s="44"/>
    </row>
    <row r="2" spans="1:13" ht="44.25" customHeight="1">
      <c r="A2" s="773" t="s">
        <v>232</v>
      </c>
      <c r="B2" s="773"/>
      <c r="C2" s="773"/>
      <c r="D2" s="773"/>
      <c r="E2" s="773"/>
      <c r="F2" s="773"/>
      <c r="G2" s="775"/>
      <c r="H2" s="6"/>
      <c r="I2" s="6"/>
      <c r="J2" s="6"/>
      <c r="K2" s="6"/>
      <c r="L2" s="5"/>
    </row>
    <row r="3" spans="1:13" ht="23.25" customHeight="1">
      <c r="A3" s="98" t="s">
        <v>307</v>
      </c>
      <c r="B3" s="5"/>
      <c r="C3" s="61"/>
      <c r="D3" s="59"/>
      <c r="E3" s="56"/>
      <c r="F3" s="55"/>
      <c r="G3" s="57"/>
      <c r="H3" s="44"/>
      <c r="I3" s="44"/>
      <c r="J3" s="44"/>
      <c r="K3" s="44"/>
      <c r="L3" s="5"/>
    </row>
    <row r="4" spans="1:13" ht="23.25" customHeight="1">
      <c r="A4" s="776" t="s">
        <v>309</v>
      </c>
      <c r="B4" s="776"/>
      <c r="C4" s="776"/>
      <c r="D4" s="776"/>
      <c r="E4" s="776"/>
      <c r="F4" s="55"/>
      <c r="G4" s="57"/>
      <c r="H4" s="775"/>
      <c r="I4" s="775"/>
      <c r="J4" s="775"/>
      <c r="K4" s="775"/>
      <c r="L4" s="5"/>
    </row>
    <row r="5" spans="1:13" ht="16.5" customHeight="1">
      <c r="A5" s="5"/>
      <c r="B5" s="5"/>
      <c r="C5" s="5"/>
      <c r="D5" s="5"/>
      <c r="E5" s="55"/>
      <c r="F5" s="55"/>
      <c r="G5" s="57"/>
      <c r="H5" s="775"/>
      <c r="I5" s="775"/>
      <c r="J5" s="775"/>
      <c r="K5" s="775"/>
      <c r="L5" s="5"/>
    </row>
    <row r="6" spans="1:13" ht="16.5" customHeight="1">
      <c r="A6" s="5"/>
      <c r="B6" s="5"/>
      <c r="C6" s="5"/>
      <c r="D6" s="5"/>
      <c r="E6" s="55"/>
      <c r="F6" s="55"/>
      <c r="G6" s="57"/>
      <c r="H6" s="44"/>
      <c r="I6" s="44"/>
      <c r="J6" s="44"/>
      <c r="K6" s="44"/>
      <c r="L6" s="5"/>
    </row>
    <row r="7" spans="1:13" ht="16.5" customHeight="1">
      <c r="A7" s="5"/>
      <c r="B7" s="5"/>
      <c r="C7" s="5"/>
      <c r="D7" s="5"/>
      <c r="E7" s="55"/>
      <c r="F7" s="55"/>
      <c r="G7" s="58"/>
      <c r="H7" s="60"/>
      <c r="I7" s="60"/>
      <c r="J7" s="60"/>
      <c r="K7" s="60"/>
      <c r="L7" s="5"/>
    </row>
    <row r="8" spans="1:13" s="8" customFormat="1" ht="15.75" customHeight="1">
      <c r="A8" s="774" t="s">
        <v>20</v>
      </c>
      <c r="B8" s="782" t="s">
        <v>21</v>
      </c>
      <c r="C8" s="783"/>
      <c r="D8" s="786" t="s">
        <v>79</v>
      </c>
      <c r="E8" s="774" t="s">
        <v>22</v>
      </c>
      <c r="F8" s="774" t="s">
        <v>23</v>
      </c>
      <c r="G8" s="777" t="s">
        <v>24</v>
      </c>
      <c r="H8" s="778"/>
      <c r="I8" s="779"/>
      <c r="J8" s="774" t="s">
        <v>25</v>
      </c>
      <c r="K8" s="774" t="s">
        <v>26</v>
      </c>
      <c r="L8" s="774" t="s">
        <v>3</v>
      </c>
      <c r="M8" s="107"/>
    </row>
    <row r="9" spans="1:13" s="8" customFormat="1" ht="15.75" customHeight="1">
      <c r="A9" s="774"/>
      <c r="B9" s="784"/>
      <c r="C9" s="785"/>
      <c r="D9" s="774"/>
      <c r="E9" s="774"/>
      <c r="F9" s="774"/>
      <c r="G9" s="7" t="s">
        <v>27</v>
      </c>
      <c r="H9" s="7" t="s">
        <v>28</v>
      </c>
      <c r="I9" s="7" t="s">
        <v>29</v>
      </c>
      <c r="J9" s="774"/>
      <c r="K9" s="774"/>
      <c r="L9" s="774"/>
      <c r="M9" s="107"/>
    </row>
    <row r="10" spans="1:13" s="12" customFormat="1" ht="24.75" customHeight="1">
      <c r="A10" s="780" t="s">
        <v>30</v>
      </c>
      <c r="B10" s="787" t="s">
        <v>31</v>
      </c>
      <c r="C10" s="788"/>
      <c r="D10" s="10"/>
      <c r="E10" s="117"/>
      <c r="F10" s="117">
        <f>F11</f>
        <v>0</v>
      </c>
      <c r="G10" s="117"/>
      <c r="H10" s="117"/>
      <c r="I10" s="117"/>
      <c r="J10" s="117">
        <f>F10</f>
        <v>0</v>
      </c>
      <c r="K10" s="117">
        <f>E10+F10</f>
        <v>0</v>
      </c>
      <c r="L10" s="11"/>
      <c r="M10" s="108">
        <f>J10*1.1</f>
        <v>0</v>
      </c>
    </row>
    <row r="11" spans="1:13" s="12" customFormat="1" ht="24.75" customHeight="1">
      <c r="A11" s="781"/>
      <c r="B11" s="524" t="s">
        <v>32</v>
      </c>
      <c r="C11" s="526"/>
      <c r="D11" s="10"/>
      <c r="E11" s="10"/>
      <c r="F11" s="10">
        <f>'업체별지급현황(총괄)'!E5</f>
        <v>0</v>
      </c>
      <c r="G11" s="10"/>
      <c r="H11" s="10"/>
      <c r="I11" s="10"/>
      <c r="J11" s="10">
        <f>F11</f>
        <v>0</v>
      </c>
      <c r="K11" s="10">
        <f>E11+F11</f>
        <v>0</v>
      </c>
      <c r="L11" s="11"/>
      <c r="M11" s="108"/>
    </row>
    <row r="12" spans="1:13" s="12" customFormat="1" ht="24.75" customHeight="1">
      <c r="A12" s="781"/>
      <c r="B12" s="787" t="s">
        <v>33</v>
      </c>
      <c r="C12" s="788"/>
      <c r="D12" s="10"/>
      <c r="E12" s="117"/>
      <c r="F12" s="117">
        <f>F13</f>
        <v>0</v>
      </c>
      <c r="G12" s="117"/>
      <c r="H12" s="117"/>
      <c r="I12" s="117"/>
      <c r="J12" s="117">
        <f>F12</f>
        <v>0</v>
      </c>
      <c r="K12" s="117">
        <f>E12+F12</f>
        <v>0</v>
      </c>
      <c r="L12" s="11"/>
      <c r="M12" s="108">
        <f>F12+145670</f>
        <v>145670</v>
      </c>
    </row>
    <row r="13" spans="1:13" s="12" customFormat="1" ht="24.75" customHeight="1">
      <c r="A13" s="781"/>
      <c r="B13" s="524" t="s">
        <v>34</v>
      </c>
      <c r="C13" s="526"/>
      <c r="D13" s="10"/>
      <c r="E13" s="10"/>
      <c r="F13" s="10">
        <f>'업체별지급현황(총괄)'!E6</f>
        <v>0</v>
      </c>
      <c r="G13" s="10"/>
      <c r="H13" s="10"/>
      <c r="I13" s="10"/>
      <c r="J13" s="10">
        <f>F13</f>
        <v>0</v>
      </c>
      <c r="K13" s="10">
        <f>E13+F13</f>
        <v>0</v>
      </c>
      <c r="L13" s="11"/>
      <c r="M13" s="108"/>
    </row>
    <row r="14" spans="1:13" s="12" customFormat="1" ht="24.75" customHeight="1">
      <c r="A14" s="781"/>
      <c r="B14" s="787" t="s">
        <v>35</v>
      </c>
      <c r="C14" s="788"/>
      <c r="D14" s="10"/>
      <c r="E14" s="10"/>
      <c r="F14" s="10">
        <f>F15+F16+F17</f>
        <v>0</v>
      </c>
      <c r="G14" s="10"/>
      <c r="H14" s="10"/>
      <c r="I14" s="10"/>
      <c r="J14" s="10"/>
      <c r="K14" s="10"/>
      <c r="L14" s="11"/>
      <c r="M14" s="108"/>
    </row>
    <row r="15" spans="1:13" s="12" customFormat="1" ht="24.75" customHeight="1">
      <c r="A15" s="781"/>
      <c r="B15" s="524" t="s">
        <v>233</v>
      </c>
      <c r="C15" s="526"/>
      <c r="D15" s="10"/>
      <c r="E15" s="10"/>
      <c r="F15" s="10">
        <f>'업체별지급현황(총괄)'!E7</f>
        <v>0</v>
      </c>
      <c r="G15" s="10"/>
      <c r="H15" s="10"/>
      <c r="I15" s="10"/>
      <c r="J15" s="10"/>
      <c r="K15" s="10"/>
      <c r="L15" s="11"/>
      <c r="M15" s="108"/>
    </row>
    <row r="16" spans="1:13" s="12" customFormat="1" ht="24.75" customHeight="1">
      <c r="A16" s="781"/>
      <c r="B16" s="524"/>
      <c r="C16" s="526"/>
      <c r="D16" s="10"/>
      <c r="E16" s="10"/>
      <c r="F16" s="10"/>
      <c r="G16" s="10"/>
      <c r="H16" s="10"/>
      <c r="I16" s="10"/>
      <c r="J16" s="10"/>
      <c r="K16" s="10"/>
      <c r="L16" s="11"/>
      <c r="M16" s="108"/>
    </row>
    <row r="17" spans="1:13" s="12" customFormat="1" ht="24.75" customHeight="1">
      <c r="A17" s="781"/>
      <c r="B17" s="524"/>
      <c r="C17" s="526"/>
      <c r="D17" s="10"/>
      <c r="E17" s="10"/>
      <c r="F17" s="10"/>
      <c r="G17" s="10"/>
      <c r="H17" s="10"/>
      <c r="I17" s="10"/>
      <c r="J17" s="10"/>
      <c r="K17" s="10"/>
      <c r="L17" s="11"/>
      <c r="M17" s="108"/>
    </row>
    <row r="18" spans="1:13" s="12" customFormat="1" ht="24.75" customHeight="1">
      <c r="A18" s="781"/>
      <c r="B18" s="787" t="s">
        <v>36</v>
      </c>
      <c r="C18" s="788"/>
      <c r="D18" s="10"/>
      <c r="E18" s="117"/>
      <c r="F18" s="117">
        <f>F19</f>
        <v>0</v>
      </c>
      <c r="G18" s="117"/>
      <c r="H18" s="117"/>
      <c r="I18" s="117"/>
      <c r="J18" s="117" t="e">
        <f>J19</f>
        <v>#REF!</v>
      </c>
      <c r="K18" s="117">
        <f>E18+F18</f>
        <v>0</v>
      </c>
      <c r="L18" s="11"/>
      <c r="M18" s="108">
        <f>F18*1.1</f>
        <v>0</v>
      </c>
    </row>
    <row r="19" spans="1:13" s="12" customFormat="1" ht="24.75" customHeight="1">
      <c r="A19" s="781"/>
      <c r="B19" s="524" t="s">
        <v>37</v>
      </c>
      <c r="C19" s="526"/>
      <c r="D19" s="10"/>
      <c r="E19" s="10"/>
      <c r="F19" s="10">
        <f>'업체별지급현황(총괄)'!E8</f>
        <v>0</v>
      </c>
      <c r="G19" s="14"/>
      <c r="H19" s="14"/>
      <c r="I19" s="10"/>
      <c r="J19" s="10" t="e">
        <f>#REF!</f>
        <v>#REF!</v>
      </c>
      <c r="K19" s="10">
        <f>E19+F19</f>
        <v>0</v>
      </c>
      <c r="L19" s="11"/>
      <c r="M19" s="108"/>
    </row>
    <row r="20" spans="1:13" s="12" customFormat="1" ht="24.75" customHeight="1">
      <c r="A20" s="781"/>
      <c r="B20" s="524" t="s">
        <v>38</v>
      </c>
      <c r="C20" s="526"/>
      <c r="D20" s="10"/>
      <c r="E20" s="10"/>
      <c r="F20" s="10"/>
      <c r="G20" s="10"/>
      <c r="H20" s="10"/>
      <c r="I20" s="10"/>
      <c r="J20" s="10"/>
      <c r="K20" s="10"/>
      <c r="L20" s="11"/>
      <c r="M20" s="108"/>
    </row>
    <row r="21" spans="1:13" s="12" customFormat="1" ht="24.75" customHeight="1">
      <c r="A21" s="781"/>
      <c r="B21" s="524" t="s">
        <v>80</v>
      </c>
      <c r="C21" s="526"/>
      <c r="D21" s="10"/>
      <c r="E21" s="10"/>
      <c r="F21" s="10"/>
      <c r="G21" s="10"/>
      <c r="H21" s="10"/>
      <c r="I21" s="10"/>
      <c r="J21" s="10"/>
      <c r="K21" s="10"/>
      <c r="L21" s="11"/>
      <c r="M21" s="108"/>
    </row>
    <row r="22" spans="1:13" s="12" customFormat="1" ht="24.75" customHeight="1">
      <c r="A22" s="781"/>
      <c r="B22" s="787" t="s">
        <v>39</v>
      </c>
      <c r="C22" s="788"/>
      <c r="D22" s="10"/>
      <c r="E22" s="117"/>
      <c r="F22" s="117" t="e">
        <f>'자금청구내역(을)'!E44</f>
        <v>#REF!</v>
      </c>
      <c r="G22" s="117"/>
      <c r="H22" s="117"/>
      <c r="I22" s="117"/>
      <c r="J22" s="117"/>
      <c r="K22" s="117"/>
      <c r="L22" s="11"/>
      <c r="M22" s="108">
        <f>J22*1.1</f>
        <v>0</v>
      </c>
    </row>
    <row r="23" spans="1:13" s="12" customFormat="1" ht="24.75" customHeight="1">
      <c r="A23" s="781"/>
      <c r="B23" s="524" t="s">
        <v>40</v>
      </c>
      <c r="C23" s="526"/>
      <c r="D23" s="13"/>
      <c r="E23" s="10"/>
      <c r="F23" s="10"/>
      <c r="G23" s="10"/>
      <c r="H23" s="10"/>
      <c r="I23" s="10"/>
      <c r="J23" s="10"/>
      <c r="K23" s="10"/>
      <c r="L23" s="11"/>
      <c r="M23" s="108"/>
    </row>
    <row r="24" spans="1:13" s="12" customFormat="1" ht="24.75" customHeight="1">
      <c r="A24" s="781"/>
      <c r="B24" s="524" t="s">
        <v>74</v>
      </c>
      <c r="C24" s="526"/>
      <c r="D24" s="13"/>
      <c r="E24" s="10"/>
      <c r="F24" s="10"/>
      <c r="G24" s="10"/>
      <c r="H24" s="10"/>
      <c r="I24" s="10"/>
      <c r="J24" s="10"/>
      <c r="K24" s="10"/>
      <c r="L24" s="11"/>
      <c r="M24" s="108"/>
    </row>
    <row r="25" spans="1:13" s="12" customFormat="1" ht="24.75" customHeight="1">
      <c r="A25" s="781"/>
      <c r="B25" s="790" t="s">
        <v>41</v>
      </c>
      <c r="C25" s="791"/>
      <c r="D25" s="10"/>
      <c r="E25" s="117">
        <f>E10+E12+E14+E18+E22</f>
        <v>0</v>
      </c>
      <c r="F25" s="117" t="e">
        <f t="shared" ref="F25:K25" si="0">F10+F12+F14+F18+F22</f>
        <v>#REF!</v>
      </c>
      <c r="G25" s="117">
        <f t="shared" si="0"/>
        <v>0</v>
      </c>
      <c r="H25" s="117">
        <f t="shared" si="0"/>
        <v>0</v>
      </c>
      <c r="I25" s="117">
        <f t="shared" si="0"/>
        <v>0</v>
      </c>
      <c r="J25" s="117" t="e">
        <f t="shared" si="0"/>
        <v>#REF!</v>
      </c>
      <c r="K25" s="117">
        <f t="shared" si="0"/>
        <v>0</v>
      </c>
      <c r="L25" s="11"/>
      <c r="M25" s="108">
        <f>SUM(M10:M22)</f>
        <v>145670</v>
      </c>
    </row>
    <row r="26" spans="1:13" s="12" customFormat="1" ht="21" customHeight="1">
      <c r="A26" s="793" t="s">
        <v>42</v>
      </c>
      <c r="B26" s="524" t="s">
        <v>175</v>
      </c>
      <c r="C26" s="526"/>
      <c r="D26" s="10"/>
      <c r="E26" s="15"/>
      <c r="F26" s="10"/>
      <c r="G26" s="101"/>
      <c r="H26" s="10">
        <f>F26</f>
        <v>0</v>
      </c>
      <c r="I26" s="10">
        <f>H26+G26</f>
        <v>0</v>
      </c>
      <c r="J26" s="10"/>
      <c r="K26" s="10">
        <f t="shared" ref="K26:K52" si="1">E26+F26</f>
        <v>0</v>
      </c>
      <c r="L26" s="11"/>
      <c r="M26" s="108">
        <f>F26-I26</f>
        <v>0</v>
      </c>
    </row>
    <row r="27" spans="1:13" s="12" customFormat="1" ht="21" customHeight="1">
      <c r="A27" s="794"/>
      <c r="B27" s="524" t="s">
        <v>185</v>
      </c>
      <c r="C27" s="526"/>
      <c r="D27" s="10"/>
      <c r="E27" s="15"/>
      <c r="F27" s="10"/>
      <c r="G27" s="101"/>
      <c r="H27" s="102">
        <f>F27</f>
        <v>0</v>
      </c>
      <c r="I27" s="10">
        <f t="shared" ref="I27:I44" si="2">H27+G27</f>
        <v>0</v>
      </c>
      <c r="J27" s="10">
        <f t="shared" ref="J27:J45" si="3">F27-I27</f>
        <v>0</v>
      </c>
      <c r="K27" s="10">
        <f t="shared" si="1"/>
        <v>0</v>
      </c>
      <c r="L27" s="11"/>
      <c r="M27" s="108">
        <f t="shared" ref="M27:M46" si="4">F27-I27</f>
        <v>0</v>
      </c>
    </row>
    <row r="28" spans="1:13" s="12" customFormat="1" ht="21" customHeight="1">
      <c r="A28" s="794"/>
      <c r="B28" s="524" t="s">
        <v>272</v>
      </c>
      <c r="C28" s="526"/>
      <c r="D28" s="10"/>
      <c r="E28" s="15"/>
      <c r="F28" s="10"/>
      <c r="G28" s="101">
        <f>F28</f>
        <v>0</v>
      </c>
      <c r="H28" s="102"/>
      <c r="I28" s="10">
        <f t="shared" si="2"/>
        <v>0</v>
      </c>
      <c r="J28" s="10">
        <f t="shared" si="3"/>
        <v>0</v>
      </c>
      <c r="K28" s="10">
        <f t="shared" si="1"/>
        <v>0</v>
      </c>
      <c r="L28" s="11"/>
      <c r="M28" s="108">
        <f t="shared" si="4"/>
        <v>0</v>
      </c>
    </row>
    <row r="29" spans="1:13" s="12" customFormat="1" ht="21" customHeight="1">
      <c r="A29" s="794"/>
      <c r="B29" s="524" t="s">
        <v>273</v>
      </c>
      <c r="C29" s="526"/>
      <c r="D29" s="10"/>
      <c r="E29" s="10"/>
      <c r="F29" s="10"/>
      <c r="G29" s="101"/>
      <c r="H29" s="102"/>
      <c r="I29" s="10">
        <f t="shared" si="2"/>
        <v>0</v>
      </c>
      <c r="J29" s="10">
        <f t="shared" si="3"/>
        <v>0</v>
      </c>
      <c r="K29" s="10">
        <f t="shared" si="1"/>
        <v>0</v>
      </c>
      <c r="L29" s="11"/>
      <c r="M29" s="108">
        <f t="shared" si="4"/>
        <v>0</v>
      </c>
    </row>
    <row r="30" spans="1:13" s="12" customFormat="1" ht="21" customHeight="1">
      <c r="A30" s="794"/>
      <c r="B30" s="524" t="s">
        <v>274</v>
      </c>
      <c r="C30" s="526"/>
      <c r="D30" s="10"/>
      <c r="E30" s="10"/>
      <c r="F30" s="10"/>
      <c r="G30" s="101"/>
      <c r="H30" s="102"/>
      <c r="I30" s="10">
        <f t="shared" si="2"/>
        <v>0</v>
      </c>
      <c r="J30" s="10">
        <f t="shared" si="3"/>
        <v>0</v>
      </c>
      <c r="K30" s="10">
        <f t="shared" si="1"/>
        <v>0</v>
      </c>
      <c r="L30" s="11"/>
      <c r="M30" s="108">
        <f t="shared" si="4"/>
        <v>0</v>
      </c>
    </row>
    <row r="31" spans="1:13" s="12" customFormat="1" ht="21" customHeight="1">
      <c r="A31" s="794"/>
      <c r="B31" s="524" t="s">
        <v>275</v>
      </c>
      <c r="C31" s="526"/>
      <c r="D31" s="10"/>
      <c r="E31" s="10"/>
      <c r="F31" s="10"/>
      <c r="G31" s="101"/>
      <c r="H31" s="102"/>
      <c r="I31" s="10">
        <f t="shared" si="2"/>
        <v>0</v>
      </c>
      <c r="J31" s="10">
        <f t="shared" si="3"/>
        <v>0</v>
      </c>
      <c r="K31" s="10">
        <f t="shared" si="1"/>
        <v>0</v>
      </c>
      <c r="L31" s="11"/>
      <c r="M31" s="108">
        <f t="shared" si="4"/>
        <v>0</v>
      </c>
    </row>
    <row r="32" spans="1:13" s="12" customFormat="1" ht="21" customHeight="1">
      <c r="A32" s="794"/>
      <c r="B32" s="524" t="s">
        <v>176</v>
      </c>
      <c r="C32" s="526"/>
      <c r="D32" s="10"/>
      <c r="E32" s="10"/>
      <c r="F32" s="10"/>
      <c r="G32" s="101"/>
      <c r="H32" s="102">
        <f>F32</f>
        <v>0</v>
      </c>
      <c r="I32" s="10">
        <f t="shared" si="2"/>
        <v>0</v>
      </c>
      <c r="J32" s="10">
        <f t="shared" si="3"/>
        <v>0</v>
      </c>
      <c r="K32" s="10">
        <f t="shared" si="1"/>
        <v>0</v>
      </c>
      <c r="L32" s="11"/>
      <c r="M32" s="108">
        <f t="shared" si="4"/>
        <v>0</v>
      </c>
    </row>
    <row r="33" spans="1:13" s="12" customFormat="1" ht="21" customHeight="1">
      <c r="A33" s="794"/>
      <c r="B33" s="524" t="s">
        <v>276</v>
      </c>
      <c r="C33" s="526"/>
      <c r="D33" s="10"/>
      <c r="E33" s="10"/>
      <c r="F33" s="10"/>
      <c r="G33" s="101"/>
      <c r="H33" s="102"/>
      <c r="I33" s="10">
        <f t="shared" si="2"/>
        <v>0</v>
      </c>
      <c r="J33" s="10">
        <f t="shared" si="3"/>
        <v>0</v>
      </c>
      <c r="K33" s="10">
        <f t="shared" si="1"/>
        <v>0</v>
      </c>
      <c r="L33" s="11"/>
      <c r="M33" s="108">
        <f t="shared" si="4"/>
        <v>0</v>
      </c>
    </row>
    <row r="34" spans="1:13" s="12" customFormat="1" ht="21" customHeight="1">
      <c r="A34" s="794"/>
      <c r="B34" s="524" t="s">
        <v>277</v>
      </c>
      <c r="C34" s="526"/>
      <c r="D34" s="10"/>
      <c r="E34" s="10"/>
      <c r="F34" s="10"/>
      <c r="G34" s="105">
        <v>0</v>
      </c>
      <c r="H34" s="102"/>
      <c r="I34" s="10">
        <f t="shared" si="2"/>
        <v>0</v>
      </c>
      <c r="J34" s="10">
        <f t="shared" si="3"/>
        <v>0</v>
      </c>
      <c r="K34" s="10">
        <f t="shared" si="1"/>
        <v>0</v>
      </c>
      <c r="L34" s="11"/>
      <c r="M34" s="108">
        <f t="shared" si="4"/>
        <v>0</v>
      </c>
    </row>
    <row r="35" spans="1:13" s="12" customFormat="1" ht="21" customHeight="1">
      <c r="A35" s="794"/>
      <c r="B35" s="524" t="s">
        <v>278</v>
      </c>
      <c r="C35" s="526"/>
      <c r="D35" s="10"/>
      <c r="E35" s="10"/>
      <c r="F35" s="10"/>
      <c r="G35" s="101"/>
      <c r="H35" s="102">
        <f>F35</f>
        <v>0</v>
      </c>
      <c r="I35" s="10">
        <f t="shared" si="2"/>
        <v>0</v>
      </c>
      <c r="J35" s="10">
        <f t="shared" si="3"/>
        <v>0</v>
      </c>
      <c r="K35" s="10">
        <f t="shared" si="1"/>
        <v>0</v>
      </c>
      <c r="L35" s="11"/>
      <c r="M35" s="108">
        <f t="shared" si="4"/>
        <v>0</v>
      </c>
    </row>
    <row r="36" spans="1:13" s="12" customFormat="1" ht="21" customHeight="1">
      <c r="A36" s="794"/>
      <c r="B36" s="524" t="s">
        <v>174</v>
      </c>
      <c r="C36" s="526"/>
      <c r="D36" s="10"/>
      <c r="E36" s="15"/>
      <c r="F36" s="10"/>
      <c r="G36" s="101"/>
      <c r="H36" s="10">
        <f>F36</f>
        <v>0</v>
      </c>
      <c r="I36" s="10">
        <f t="shared" si="2"/>
        <v>0</v>
      </c>
      <c r="J36" s="10">
        <f t="shared" si="3"/>
        <v>0</v>
      </c>
      <c r="K36" s="10">
        <f t="shared" si="1"/>
        <v>0</v>
      </c>
      <c r="L36" s="11"/>
      <c r="M36" s="108">
        <f t="shared" si="4"/>
        <v>0</v>
      </c>
    </row>
    <row r="37" spans="1:13" s="12" customFormat="1" ht="21" customHeight="1">
      <c r="A37" s="794"/>
      <c r="B37" s="524" t="s">
        <v>279</v>
      </c>
      <c r="C37" s="526"/>
      <c r="D37" s="10"/>
      <c r="E37" s="10"/>
      <c r="F37" s="10"/>
      <c r="G37" s="101"/>
      <c r="H37" s="10">
        <f>F37</f>
        <v>0</v>
      </c>
      <c r="I37" s="10">
        <f t="shared" si="2"/>
        <v>0</v>
      </c>
      <c r="J37" s="10">
        <f t="shared" si="3"/>
        <v>0</v>
      </c>
      <c r="K37" s="10">
        <f t="shared" si="1"/>
        <v>0</v>
      </c>
      <c r="L37" s="11"/>
      <c r="M37" s="108">
        <f t="shared" si="4"/>
        <v>0</v>
      </c>
    </row>
    <row r="38" spans="1:13" s="12" customFormat="1" ht="21" customHeight="1">
      <c r="A38" s="794"/>
      <c r="B38" s="524" t="s">
        <v>173</v>
      </c>
      <c r="C38" s="526"/>
      <c r="D38" s="10"/>
      <c r="E38" s="10"/>
      <c r="F38" s="10">
        <f>'업체별지급현황(총괄)'!E10</f>
        <v>840500</v>
      </c>
      <c r="G38" s="101"/>
      <c r="H38" s="10"/>
      <c r="I38" s="10"/>
      <c r="J38" s="10">
        <f>F38-I38</f>
        <v>840500</v>
      </c>
      <c r="K38" s="10">
        <f t="shared" si="1"/>
        <v>840500</v>
      </c>
      <c r="L38" s="11"/>
      <c r="M38" s="108">
        <f t="shared" si="4"/>
        <v>840500</v>
      </c>
    </row>
    <row r="39" spans="1:13" s="12" customFormat="1" ht="21" customHeight="1">
      <c r="A39" s="794"/>
      <c r="B39" s="524" t="s">
        <v>280</v>
      </c>
      <c r="C39" s="526"/>
      <c r="D39" s="10"/>
      <c r="E39" s="10"/>
      <c r="F39" s="10"/>
      <c r="G39" s="101"/>
      <c r="H39" s="10"/>
      <c r="I39" s="10"/>
      <c r="J39" s="10"/>
      <c r="K39" s="10"/>
      <c r="L39" s="11"/>
      <c r="M39" s="108">
        <f t="shared" si="4"/>
        <v>0</v>
      </c>
    </row>
    <row r="40" spans="1:13" s="12" customFormat="1" ht="21" customHeight="1">
      <c r="A40" s="794"/>
      <c r="B40" s="524" t="s">
        <v>281</v>
      </c>
      <c r="C40" s="526"/>
      <c r="D40" s="10"/>
      <c r="E40" s="10">
        <v>0</v>
      </c>
      <c r="F40" s="10"/>
      <c r="G40" s="101"/>
      <c r="H40" s="97"/>
      <c r="I40" s="10">
        <f t="shared" si="2"/>
        <v>0</v>
      </c>
      <c r="J40" s="10">
        <f t="shared" si="3"/>
        <v>0</v>
      </c>
      <c r="K40" s="10">
        <f t="shared" si="1"/>
        <v>0</v>
      </c>
      <c r="L40" s="11"/>
      <c r="M40" s="108">
        <f t="shared" si="4"/>
        <v>0</v>
      </c>
    </row>
    <row r="41" spans="1:13" s="12" customFormat="1" ht="21" customHeight="1">
      <c r="A41" s="794"/>
      <c r="B41" s="524" t="s">
        <v>282</v>
      </c>
      <c r="C41" s="526"/>
      <c r="D41" s="10"/>
      <c r="E41" s="10"/>
      <c r="F41" s="10"/>
      <c r="G41" s="101"/>
      <c r="H41" s="97"/>
      <c r="I41" s="10">
        <f t="shared" si="2"/>
        <v>0</v>
      </c>
      <c r="J41" s="10">
        <f t="shared" si="3"/>
        <v>0</v>
      </c>
      <c r="K41" s="10"/>
      <c r="L41" s="11"/>
      <c r="M41" s="108">
        <f t="shared" si="4"/>
        <v>0</v>
      </c>
    </row>
    <row r="42" spans="1:13" s="12" customFormat="1" ht="21" customHeight="1">
      <c r="A42" s="794"/>
      <c r="B42" s="524" t="s">
        <v>283</v>
      </c>
      <c r="C42" s="526"/>
      <c r="D42" s="10"/>
      <c r="E42" s="10"/>
      <c r="F42" s="10"/>
      <c r="G42" s="101"/>
      <c r="H42" s="97"/>
      <c r="I42" s="10"/>
      <c r="J42" s="10">
        <f t="shared" si="3"/>
        <v>0</v>
      </c>
      <c r="K42" s="10"/>
      <c r="L42" s="11"/>
      <c r="M42" s="108">
        <f t="shared" si="4"/>
        <v>0</v>
      </c>
    </row>
    <row r="43" spans="1:13" s="12" customFormat="1" ht="21" customHeight="1">
      <c r="A43" s="794"/>
      <c r="B43" s="524" t="s">
        <v>123</v>
      </c>
      <c r="C43" s="526"/>
      <c r="D43" s="10"/>
      <c r="E43" s="10"/>
      <c r="F43" s="10"/>
      <c r="G43" s="101"/>
      <c r="H43" s="16"/>
      <c r="I43" s="10">
        <f t="shared" si="2"/>
        <v>0</v>
      </c>
      <c r="J43" s="10">
        <f t="shared" si="3"/>
        <v>0</v>
      </c>
      <c r="K43" s="10"/>
      <c r="L43" s="11"/>
      <c r="M43" s="108">
        <f t="shared" si="4"/>
        <v>0</v>
      </c>
    </row>
    <row r="44" spans="1:13" s="12" customFormat="1" ht="21" customHeight="1">
      <c r="A44" s="794"/>
      <c r="B44" s="524" t="s">
        <v>124</v>
      </c>
      <c r="C44" s="526"/>
      <c r="D44" s="10"/>
      <c r="E44" s="10">
        <v>0</v>
      </c>
      <c r="F44" s="10"/>
      <c r="G44" s="101"/>
      <c r="H44" s="10"/>
      <c r="I44" s="10">
        <f t="shared" si="2"/>
        <v>0</v>
      </c>
      <c r="J44" s="10">
        <f t="shared" si="3"/>
        <v>0</v>
      </c>
      <c r="K44" s="10">
        <f t="shared" si="1"/>
        <v>0</v>
      </c>
      <c r="L44" s="11"/>
      <c r="M44" s="108">
        <f t="shared" si="4"/>
        <v>0</v>
      </c>
    </row>
    <row r="45" spans="1:13" s="12" customFormat="1" ht="21" customHeight="1">
      <c r="A45" s="794"/>
      <c r="B45" s="524" t="s">
        <v>284</v>
      </c>
      <c r="C45" s="526"/>
      <c r="D45" s="10"/>
      <c r="E45" s="10"/>
      <c r="F45" s="10"/>
      <c r="G45" s="101"/>
      <c r="H45" s="10"/>
      <c r="I45" s="10"/>
      <c r="J45" s="10">
        <f t="shared" si="3"/>
        <v>0</v>
      </c>
      <c r="K45" s="10"/>
      <c r="L45" s="11"/>
      <c r="M45" s="108">
        <f t="shared" si="4"/>
        <v>0</v>
      </c>
    </row>
    <row r="46" spans="1:13" s="12" customFormat="1" ht="21" customHeight="1">
      <c r="A46" s="795"/>
      <c r="B46" s="790" t="s">
        <v>43</v>
      </c>
      <c r="C46" s="791"/>
      <c r="D46" s="10"/>
      <c r="E46" s="117"/>
      <c r="F46" s="117">
        <f t="shared" ref="F46:K46" si="5">SUM(F26:F45)</f>
        <v>840500</v>
      </c>
      <c r="G46" s="118">
        <f t="shared" si="5"/>
        <v>0</v>
      </c>
      <c r="H46" s="117">
        <f t="shared" si="5"/>
        <v>0</v>
      </c>
      <c r="I46" s="117">
        <f t="shared" si="5"/>
        <v>0</v>
      </c>
      <c r="J46" s="117">
        <f t="shared" si="5"/>
        <v>840500</v>
      </c>
      <c r="K46" s="117">
        <f t="shared" si="5"/>
        <v>840500</v>
      </c>
      <c r="L46" s="11"/>
      <c r="M46" s="108">
        <f t="shared" si="4"/>
        <v>840500</v>
      </c>
    </row>
    <row r="47" spans="1:13" s="12" customFormat="1" ht="21" customHeight="1">
      <c r="A47" s="790" t="s">
        <v>146</v>
      </c>
      <c r="B47" s="792"/>
      <c r="C47" s="791"/>
      <c r="D47" s="10"/>
      <c r="E47" s="117"/>
      <c r="F47" s="117">
        <f>'업체별지급현황(총괄)'!E12</f>
        <v>4395000</v>
      </c>
      <c r="G47" s="117"/>
      <c r="H47" s="117"/>
      <c r="I47" s="117">
        <f>+H47+G47</f>
        <v>0</v>
      </c>
      <c r="J47" s="117">
        <f t="shared" ref="J47:J52" si="6">F47-I47</f>
        <v>4395000</v>
      </c>
      <c r="K47" s="117">
        <f t="shared" si="1"/>
        <v>4395000</v>
      </c>
      <c r="L47" s="11"/>
      <c r="M47" s="108"/>
    </row>
    <row r="48" spans="1:13" s="12" customFormat="1" ht="21" customHeight="1">
      <c r="A48" s="790" t="s">
        <v>44</v>
      </c>
      <c r="B48" s="792"/>
      <c r="C48" s="791"/>
      <c r="D48" s="796"/>
      <c r="E48" s="10">
        <v>0</v>
      </c>
      <c r="F48" s="10"/>
      <c r="G48" s="10"/>
      <c r="H48" s="10"/>
      <c r="I48" s="10"/>
      <c r="J48" s="117">
        <f t="shared" si="6"/>
        <v>0</v>
      </c>
      <c r="K48" s="117">
        <f t="shared" si="1"/>
        <v>0</v>
      </c>
      <c r="L48" s="11"/>
      <c r="M48" s="108"/>
    </row>
    <row r="49" spans="1:13" s="12" customFormat="1" ht="21" customHeight="1">
      <c r="A49" s="790" t="s">
        <v>45</v>
      </c>
      <c r="B49" s="792"/>
      <c r="C49" s="791"/>
      <c r="D49" s="797"/>
      <c r="E49" s="10">
        <v>0</v>
      </c>
      <c r="F49" s="10"/>
      <c r="G49" s="10"/>
      <c r="H49" s="10"/>
      <c r="I49" s="10"/>
      <c r="J49" s="117">
        <f t="shared" si="6"/>
        <v>0</v>
      </c>
      <c r="K49" s="117">
        <f t="shared" si="1"/>
        <v>0</v>
      </c>
      <c r="L49" s="11"/>
      <c r="M49" s="108"/>
    </row>
    <row r="50" spans="1:13" s="12" customFormat="1" ht="21" customHeight="1">
      <c r="A50" s="790" t="s">
        <v>46</v>
      </c>
      <c r="B50" s="792"/>
      <c r="C50" s="791"/>
      <c r="D50" s="798"/>
      <c r="E50" s="10"/>
      <c r="F50" s="10"/>
      <c r="G50" s="10"/>
      <c r="H50" s="10"/>
      <c r="I50" s="10"/>
      <c r="J50" s="117">
        <f t="shared" si="6"/>
        <v>0</v>
      </c>
      <c r="K50" s="117">
        <f t="shared" si="1"/>
        <v>0</v>
      </c>
      <c r="L50" s="11"/>
      <c r="M50" s="108"/>
    </row>
    <row r="51" spans="1:13" ht="21" customHeight="1">
      <c r="A51" s="799" t="s">
        <v>47</v>
      </c>
      <c r="B51" s="799"/>
      <c r="C51" s="799"/>
      <c r="D51" s="10">
        <f>D50+D49+D48+D47+D46+D25</f>
        <v>0</v>
      </c>
      <c r="E51" s="117"/>
      <c r="F51" s="117" t="e">
        <f>F47+F25+F46</f>
        <v>#REF!</v>
      </c>
      <c r="G51" s="117">
        <f>G50+G49+G48+G47+G46+G25</f>
        <v>0</v>
      </c>
      <c r="H51" s="117"/>
      <c r="I51" s="117"/>
      <c r="J51" s="117" t="e">
        <f t="shared" si="6"/>
        <v>#REF!</v>
      </c>
      <c r="K51" s="117" t="e">
        <f t="shared" si="1"/>
        <v>#REF!</v>
      </c>
      <c r="L51" s="17"/>
      <c r="M51" s="106" t="e">
        <f>J25+J46+J47</f>
        <v>#REF!</v>
      </c>
    </row>
    <row r="52" spans="1:13" ht="21" customHeight="1">
      <c r="A52" s="799" t="s">
        <v>157</v>
      </c>
      <c r="B52" s="799"/>
      <c r="C52" s="799"/>
      <c r="D52" s="10" t="e">
        <f>#REF!+D51</f>
        <v>#REF!</v>
      </c>
      <c r="E52" s="117"/>
      <c r="F52" s="117" t="e">
        <f>F51</f>
        <v>#REF!</v>
      </c>
      <c r="G52" s="117"/>
      <c r="H52" s="117"/>
      <c r="I52" s="117"/>
      <c r="J52" s="117" t="e">
        <f t="shared" si="6"/>
        <v>#REF!</v>
      </c>
      <c r="K52" s="117" t="e">
        <f t="shared" si="1"/>
        <v>#REF!</v>
      </c>
      <c r="L52" s="17"/>
      <c r="M52" s="106" t="e">
        <f>#REF!*0.1</f>
        <v>#REF!</v>
      </c>
    </row>
    <row r="53" spans="1:13" ht="17.25" customHeight="1">
      <c r="A53" s="18"/>
      <c r="B53" s="18"/>
      <c r="C53" s="18"/>
      <c r="D53" s="19"/>
      <c r="E53" s="19"/>
      <c r="F53" s="19" t="s">
        <v>49</v>
      </c>
      <c r="G53" s="19"/>
      <c r="H53" s="19"/>
      <c r="I53" s="20"/>
      <c r="J53" s="20"/>
      <c r="K53" s="20"/>
      <c r="L53" s="21"/>
    </row>
    <row r="54" spans="1:13" ht="22.5" customHeight="1">
      <c r="E54" s="22"/>
      <c r="F54" s="23"/>
      <c r="H54" s="23"/>
      <c r="I54" s="22"/>
      <c r="J54" s="800"/>
      <c r="K54" s="44"/>
    </row>
    <row r="55" spans="1:13" ht="48" customHeight="1">
      <c r="F55" s="23"/>
      <c r="G55" s="23"/>
      <c r="H55" s="23"/>
      <c r="I55" s="24"/>
      <c r="J55" s="800"/>
      <c r="K55" s="33"/>
    </row>
    <row r="56" spans="1:13">
      <c r="F56" s="22"/>
      <c r="G56" s="23"/>
      <c r="H56" s="789"/>
      <c r="I56" s="789"/>
      <c r="J56" s="23"/>
    </row>
    <row r="57" spans="1:13">
      <c r="E57" s="22"/>
      <c r="F57" s="23"/>
      <c r="J57" s="25"/>
    </row>
    <row r="58" spans="1:13">
      <c r="C58" s="4" t="s">
        <v>2</v>
      </c>
      <c r="D58" s="4" t="s">
        <v>174</v>
      </c>
      <c r="E58" s="106">
        <v>412752</v>
      </c>
      <c r="F58" s="106">
        <v>41272</v>
      </c>
      <c r="G58" s="106">
        <v>454024</v>
      </c>
      <c r="H58" s="106"/>
      <c r="J58" s="26"/>
    </row>
    <row r="59" spans="1:13">
      <c r="C59" s="4" t="s">
        <v>2</v>
      </c>
      <c r="D59" s="4" t="s">
        <v>175</v>
      </c>
      <c r="E59" s="106">
        <f>1143412+315000</f>
        <v>1458412</v>
      </c>
      <c r="F59" s="106">
        <v>48388</v>
      </c>
      <c r="G59" s="106">
        <v>1191800</v>
      </c>
      <c r="H59" s="106"/>
      <c r="I59" s="149">
        <v>298416</v>
      </c>
      <c r="J59" s="108">
        <v>28449</v>
      </c>
      <c r="K59" s="106">
        <v>326865</v>
      </c>
    </row>
    <row r="60" spans="1:13">
      <c r="C60" s="4" t="s">
        <v>2</v>
      </c>
      <c r="D60" s="4" t="s">
        <v>173</v>
      </c>
      <c r="E60" s="106">
        <v>36364</v>
      </c>
      <c r="F60" s="106">
        <v>3636</v>
      </c>
      <c r="G60" s="106">
        <v>40000</v>
      </c>
      <c r="H60" s="106"/>
    </row>
    <row r="61" spans="1:13">
      <c r="C61" s="4" t="s">
        <v>2</v>
      </c>
      <c r="D61" s="4" t="s">
        <v>178</v>
      </c>
      <c r="E61" s="106">
        <v>0</v>
      </c>
      <c r="F61" s="106">
        <v>0</v>
      </c>
      <c r="G61" s="106">
        <v>0</v>
      </c>
      <c r="H61" s="106"/>
    </row>
    <row r="62" spans="1:13">
      <c r="C62" s="4" t="s">
        <v>2</v>
      </c>
      <c r="D62" s="4" t="s">
        <v>176</v>
      </c>
      <c r="E62" s="106">
        <v>81818</v>
      </c>
      <c r="F62" s="106">
        <v>8182</v>
      </c>
      <c r="G62" s="106">
        <v>90000</v>
      </c>
      <c r="H62" s="106"/>
    </row>
    <row r="63" spans="1:13">
      <c r="C63" s="4" t="s">
        <v>2</v>
      </c>
      <c r="D63" s="4" t="s">
        <v>184</v>
      </c>
      <c r="E63" s="106">
        <v>113901</v>
      </c>
      <c r="F63" s="106">
        <v>9999</v>
      </c>
      <c r="G63" s="106">
        <v>123900</v>
      </c>
      <c r="H63" s="106"/>
    </row>
    <row r="64" spans="1:13">
      <c r="C64" s="4" t="s">
        <v>2</v>
      </c>
      <c r="D64" s="4" t="s">
        <v>185</v>
      </c>
      <c r="E64" s="106">
        <v>0</v>
      </c>
      <c r="F64" s="106">
        <v>0</v>
      </c>
      <c r="G64" s="106">
        <v>0</v>
      </c>
      <c r="H64" s="106"/>
    </row>
    <row r="65" spans="3:8">
      <c r="C65" s="4" t="s">
        <v>2</v>
      </c>
      <c r="D65" s="4" t="s">
        <v>177</v>
      </c>
      <c r="E65" s="106">
        <v>1117910</v>
      </c>
      <c r="F65" s="106">
        <v>48090</v>
      </c>
      <c r="G65" s="106">
        <v>1166000</v>
      </c>
      <c r="H65" s="106"/>
    </row>
    <row r="66" spans="3:8">
      <c r="C66" s="4" t="s">
        <v>2</v>
      </c>
      <c r="D66" s="4" t="s">
        <v>2</v>
      </c>
      <c r="E66" s="106">
        <v>2906157</v>
      </c>
      <c r="F66" s="106">
        <v>159567</v>
      </c>
      <c r="G66" s="106">
        <v>3065724</v>
      </c>
      <c r="H66" s="106"/>
    </row>
  </sheetData>
  <mergeCells count="64">
    <mergeCell ref="B43:C43"/>
    <mergeCell ref="B34:C34"/>
    <mergeCell ref="B35:C35"/>
    <mergeCell ref="J54:J55"/>
    <mergeCell ref="B36:C36"/>
    <mergeCell ref="B37:C37"/>
    <mergeCell ref="B38:C38"/>
    <mergeCell ref="B39:C39"/>
    <mergeCell ref="B44:C44"/>
    <mergeCell ref="B46:C46"/>
    <mergeCell ref="A47:C47"/>
    <mergeCell ref="H56:I56"/>
    <mergeCell ref="B23:C23"/>
    <mergeCell ref="B24:C24"/>
    <mergeCell ref="B25:C25"/>
    <mergeCell ref="A49:C49"/>
    <mergeCell ref="A26:A46"/>
    <mergeCell ref="D48:D50"/>
    <mergeCell ref="B29:C29"/>
    <mergeCell ref="A48:C48"/>
    <mergeCell ref="B42:C42"/>
    <mergeCell ref="B45:C45"/>
    <mergeCell ref="B40:C40"/>
    <mergeCell ref="A52:C52"/>
    <mergeCell ref="B41:C41"/>
    <mergeCell ref="A50:C50"/>
    <mergeCell ref="A51:C51"/>
    <mergeCell ref="L8:L9"/>
    <mergeCell ref="D8:D9"/>
    <mergeCell ref="B14:C14"/>
    <mergeCell ref="B16:C16"/>
    <mergeCell ref="B30:C30"/>
    <mergeCell ref="B10:C10"/>
    <mergeCell ref="B11:C11"/>
    <mergeCell ref="B12:C12"/>
    <mergeCell ref="B13:C13"/>
    <mergeCell ref="B21:C21"/>
    <mergeCell ref="B17:C17"/>
    <mergeCell ref="B18:C18"/>
    <mergeCell ref="B22:C22"/>
    <mergeCell ref="B19:C19"/>
    <mergeCell ref="B31:C31"/>
    <mergeCell ref="K4:K5"/>
    <mergeCell ref="B33:C33"/>
    <mergeCell ref="B26:C26"/>
    <mergeCell ref="B32:C32"/>
    <mergeCell ref="B28:C28"/>
    <mergeCell ref="B8:C9"/>
    <mergeCell ref="A2:F2"/>
    <mergeCell ref="B27:C27"/>
    <mergeCell ref="K8:K9"/>
    <mergeCell ref="J4:J5"/>
    <mergeCell ref="J8:J9"/>
    <mergeCell ref="A4:E4"/>
    <mergeCell ref="B15:C15"/>
    <mergeCell ref="G1:G2"/>
    <mergeCell ref="F8:F9"/>
    <mergeCell ref="G8:I8"/>
    <mergeCell ref="E8:E9"/>
    <mergeCell ref="I4:I5"/>
    <mergeCell ref="B20:C20"/>
    <mergeCell ref="H4:H5"/>
    <mergeCell ref="A10:A25"/>
    <mergeCell ref="A8:A9"/>
  </mergeCells>
  <phoneticPr fontId="42" type="noConversion"/>
  <printOptions horizontalCentered="1"/>
  <pageMargins left="0.47244094488188981" right="0.35433070866141736" top="0.47244094488188981" bottom="0.31496062992125984" header="0.39370078740157483" footer="0.23622047244094491"/>
  <pageSetup paperSize="9" scale="86" orientation="landscape" horizontalDpi="4294967295" verticalDpi="300" r:id="rId1"/>
  <headerFooter alignWithMargins="0"/>
  <rowBreaks count="1" manualBreakCount="1">
    <brk id="25" max="11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2060"/>
  </sheetPr>
  <dimension ref="A1:L89"/>
  <sheetViews>
    <sheetView workbookViewId="0">
      <selection sqref="A1:J1"/>
    </sheetView>
  </sheetViews>
  <sheetFormatPr defaultRowHeight="13.5" outlineLevelRow="2"/>
  <cols>
    <col min="1" max="1" width="9.625" style="4" customWidth="1"/>
    <col min="2" max="2" width="16.875" style="4" customWidth="1"/>
    <col min="3" max="3" width="8.375" style="4" customWidth="1"/>
    <col min="4" max="4" width="12.125" style="4" customWidth="1"/>
    <col min="5" max="9" width="16.125" style="4" customWidth="1"/>
    <col min="10" max="10" width="11.625" style="4" customWidth="1"/>
    <col min="11" max="11" width="26.5" style="4" bestFit="1" customWidth="1"/>
    <col min="12" max="12" width="14.125" style="4" bestFit="1" customWidth="1"/>
    <col min="13" max="16384" width="9" style="4"/>
  </cols>
  <sheetData>
    <row r="1" spans="1:11" ht="27.75" customHeight="1">
      <c r="A1" s="817" t="s">
        <v>126</v>
      </c>
      <c r="B1" s="817"/>
      <c r="C1" s="817"/>
      <c r="D1" s="817"/>
      <c r="E1" s="817"/>
      <c r="F1" s="817"/>
      <c r="G1" s="817"/>
      <c r="H1" s="817"/>
      <c r="I1" s="817"/>
      <c r="J1" s="817"/>
    </row>
    <row r="2" spans="1:11" ht="27" customHeight="1">
      <c r="A2" s="4" t="str">
        <f>자금청구!A3</f>
        <v>현 장 명 : 충북혁신도시 오피스텔 신축공사</v>
      </c>
      <c r="D2" s="22"/>
      <c r="E2" s="22"/>
      <c r="F2" s="818" t="str">
        <f>자금청구!A4</f>
        <v>공사기간 : 2014.05.20 ~ 2015.06.30</v>
      </c>
      <c r="G2" s="818"/>
      <c r="H2" s="818"/>
      <c r="I2" s="818"/>
      <c r="J2" s="60" t="s">
        <v>127</v>
      </c>
    </row>
    <row r="3" spans="1:11" s="8" customFormat="1" ht="21" customHeight="1">
      <c r="A3" s="819" t="s">
        <v>128</v>
      </c>
      <c r="B3" s="819" t="s">
        <v>129</v>
      </c>
      <c r="C3" s="820" t="s">
        <v>130</v>
      </c>
      <c r="D3" s="821"/>
      <c r="E3" s="819" t="s">
        <v>131</v>
      </c>
      <c r="F3" s="819" t="s">
        <v>132</v>
      </c>
      <c r="G3" s="819" t="s">
        <v>133</v>
      </c>
      <c r="H3" s="819" t="s">
        <v>134</v>
      </c>
      <c r="I3" s="819" t="s">
        <v>135</v>
      </c>
      <c r="J3" s="819" t="s">
        <v>136</v>
      </c>
    </row>
    <row r="4" spans="1:11" s="8" customFormat="1" ht="21" customHeight="1">
      <c r="A4" s="819"/>
      <c r="B4" s="819"/>
      <c r="C4" s="822"/>
      <c r="D4" s="823"/>
      <c r="E4" s="819"/>
      <c r="F4" s="819"/>
      <c r="G4" s="819"/>
      <c r="H4" s="819"/>
      <c r="I4" s="819"/>
      <c r="J4" s="819"/>
    </row>
    <row r="5" spans="1:11" ht="29.25" customHeight="1">
      <c r="A5" s="809" t="s">
        <v>137</v>
      </c>
      <c r="B5" s="62" t="e">
        <f>#REF!</f>
        <v>#REF!</v>
      </c>
      <c r="C5" s="777" t="e">
        <f>#REF!</f>
        <v>#REF!</v>
      </c>
      <c r="D5" s="779"/>
      <c r="E5" s="73"/>
      <c r="F5" s="73"/>
      <c r="G5" s="73"/>
      <c r="H5" s="11"/>
      <c r="I5" s="73"/>
      <c r="J5" s="11"/>
      <c r="K5" s="109"/>
    </row>
    <row r="6" spans="1:11" ht="29.25" customHeight="1">
      <c r="A6" s="813"/>
      <c r="B6" s="62" t="e">
        <f>#REF!</f>
        <v>#REF!</v>
      </c>
      <c r="C6" s="777" t="e">
        <f>#REF!</f>
        <v>#REF!</v>
      </c>
      <c r="D6" s="779"/>
      <c r="E6" s="73" t="e">
        <f>#REF!</f>
        <v>#REF!</v>
      </c>
      <c r="F6" s="73" t="e">
        <f>#REF!</f>
        <v>#REF!</v>
      </c>
      <c r="G6" s="73" t="e">
        <f t="shared" ref="G6:G17" si="0">E6+F6</f>
        <v>#REF!</v>
      </c>
      <c r="H6" s="11"/>
      <c r="I6" s="73" t="e">
        <f t="shared" ref="I6:I17" si="1">G6-H6</f>
        <v>#REF!</v>
      </c>
      <c r="J6" s="11"/>
      <c r="K6" s="109"/>
    </row>
    <row r="7" spans="1:11" ht="29.25" customHeight="1">
      <c r="A7" s="813"/>
      <c r="B7" s="62" t="e">
        <f>#REF!</f>
        <v>#REF!</v>
      </c>
      <c r="C7" s="777" t="e">
        <f>#REF!</f>
        <v>#REF!</v>
      </c>
      <c r="D7" s="779"/>
      <c r="E7" s="123" t="e">
        <f>#REF!</f>
        <v>#REF!</v>
      </c>
      <c r="F7" s="73" t="e">
        <f>#REF!</f>
        <v>#REF!</v>
      </c>
      <c r="G7" s="73" t="e">
        <f t="shared" si="0"/>
        <v>#REF!</v>
      </c>
      <c r="H7" s="11"/>
      <c r="I7" s="73" t="e">
        <f t="shared" si="1"/>
        <v>#REF!</v>
      </c>
      <c r="J7" s="11"/>
    </row>
    <row r="8" spans="1:11" ht="29.25" customHeight="1">
      <c r="A8" s="813"/>
      <c r="B8" s="62" t="e">
        <f>#REF!</f>
        <v>#REF!</v>
      </c>
      <c r="C8" s="777" t="e">
        <f>#REF!</f>
        <v>#REF!</v>
      </c>
      <c r="D8" s="779"/>
      <c r="E8" s="73" t="e">
        <f>#REF!</f>
        <v>#REF!</v>
      </c>
      <c r="F8" s="73" t="e">
        <f>#REF!</f>
        <v>#REF!</v>
      </c>
      <c r="G8" s="73" t="e">
        <f t="shared" si="0"/>
        <v>#REF!</v>
      </c>
      <c r="H8" s="11"/>
      <c r="I8" s="73" t="e">
        <f t="shared" si="1"/>
        <v>#REF!</v>
      </c>
      <c r="J8" s="11"/>
    </row>
    <row r="9" spans="1:11" ht="29.25" customHeight="1" outlineLevel="1">
      <c r="A9" s="813"/>
      <c r="B9" s="62" t="e">
        <f>#REF!</f>
        <v>#REF!</v>
      </c>
      <c r="C9" s="777" t="e">
        <f>#REF!</f>
        <v>#REF!</v>
      </c>
      <c r="D9" s="779"/>
      <c r="E9" s="73" t="e">
        <f>#REF!</f>
        <v>#REF!</v>
      </c>
      <c r="F9" s="73" t="e">
        <f>#REF!</f>
        <v>#REF!</v>
      </c>
      <c r="G9" s="73" t="e">
        <f t="shared" si="0"/>
        <v>#REF!</v>
      </c>
      <c r="H9" s="11"/>
      <c r="I9" s="73" t="e">
        <f t="shared" si="1"/>
        <v>#REF!</v>
      </c>
      <c r="J9" s="11"/>
    </row>
    <row r="10" spans="1:11" ht="29.25" customHeight="1" outlineLevel="1">
      <c r="A10" s="813"/>
      <c r="B10" s="62" t="e">
        <f>#REF!</f>
        <v>#REF!</v>
      </c>
      <c r="C10" s="777" t="e">
        <f>#REF!</f>
        <v>#REF!</v>
      </c>
      <c r="D10" s="779"/>
      <c r="E10" s="73" t="e">
        <f>#REF!</f>
        <v>#REF!</v>
      </c>
      <c r="F10" s="73" t="e">
        <f>#REF!</f>
        <v>#REF!</v>
      </c>
      <c r="G10" s="73" t="e">
        <f t="shared" si="0"/>
        <v>#REF!</v>
      </c>
      <c r="H10" s="11"/>
      <c r="I10" s="73" t="e">
        <f t="shared" si="1"/>
        <v>#REF!</v>
      </c>
      <c r="J10" s="11"/>
    </row>
    <row r="11" spans="1:11" ht="29.25" customHeight="1" outlineLevel="1">
      <c r="A11" s="814"/>
      <c r="B11" s="62"/>
      <c r="C11" s="777"/>
      <c r="D11" s="779"/>
      <c r="E11" s="73" t="e">
        <f>#REF!</f>
        <v>#REF!</v>
      </c>
      <c r="F11" s="73" t="e">
        <f>#REF!</f>
        <v>#REF!</v>
      </c>
      <c r="G11" s="73" t="e">
        <f t="shared" si="0"/>
        <v>#REF!</v>
      </c>
      <c r="H11" s="62"/>
      <c r="I11" s="73" t="e">
        <f t="shared" si="1"/>
        <v>#REF!</v>
      </c>
      <c r="J11" s="11"/>
    </row>
    <row r="12" spans="1:11" ht="29.25" customHeight="1" outlineLevel="1">
      <c r="A12" s="814"/>
      <c r="B12" s="62"/>
      <c r="C12" s="777"/>
      <c r="D12" s="779"/>
      <c r="E12" s="123" t="e">
        <f>#REF!</f>
        <v>#REF!</v>
      </c>
      <c r="F12" s="73" t="e">
        <f>#REF!</f>
        <v>#REF!</v>
      </c>
      <c r="G12" s="73" t="e">
        <f t="shared" si="0"/>
        <v>#REF!</v>
      </c>
      <c r="H12" s="62"/>
      <c r="I12" s="73" t="e">
        <f t="shared" si="1"/>
        <v>#REF!</v>
      </c>
      <c r="J12" s="11"/>
    </row>
    <row r="13" spans="1:11" ht="29.25" customHeight="1" outlineLevel="1">
      <c r="A13" s="814"/>
      <c r="B13" s="62"/>
      <c r="C13" s="777"/>
      <c r="D13" s="779"/>
      <c r="E13" s="73" t="e">
        <f>#REF!</f>
        <v>#REF!</v>
      </c>
      <c r="F13" s="73" t="e">
        <f>#REF!</f>
        <v>#REF!</v>
      </c>
      <c r="G13" s="73" t="e">
        <f t="shared" si="0"/>
        <v>#REF!</v>
      </c>
      <c r="H13" s="93"/>
      <c r="I13" s="73" t="e">
        <f t="shared" si="1"/>
        <v>#REF!</v>
      </c>
      <c r="J13" s="94"/>
    </row>
    <row r="14" spans="1:11" ht="29.25" customHeight="1" outlineLevel="1">
      <c r="A14" s="814"/>
      <c r="B14" s="62" t="e">
        <f>#REF!</f>
        <v>#REF!</v>
      </c>
      <c r="C14" s="777"/>
      <c r="D14" s="779"/>
      <c r="E14" s="123" t="e">
        <f>#REF!</f>
        <v>#REF!</v>
      </c>
      <c r="F14" s="73" t="e">
        <f>#REF!</f>
        <v>#REF!</v>
      </c>
      <c r="G14" s="73" t="e">
        <f t="shared" si="0"/>
        <v>#REF!</v>
      </c>
      <c r="H14" s="93"/>
      <c r="I14" s="73" t="e">
        <f t="shared" si="1"/>
        <v>#REF!</v>
      </c>
      <c r="J14" s="94"/>
      <c r="K14" s="106"/>
    </row>
    <row r="15" spans="1:11" ht="29.25" customHeight="1" outlineLevel="1">
      <c r="A15" s="814"/>
      <c r="B15" s="62" t="e">
        <f>#REF!</f>
        <v>#REF!</v>
      </c>
      <c r="C15" s="777"/>
      <c r="D15" s="779"/>
      <c r="E15" s="73"/>
      <c r="F15" s="73" t="e">
        <f>#REF!</f>
        <v>#REF!</v>
      </c>
      <c r="G15" s="73" t="e">
        <f t="shared" si="0"/>
        <v>#REF!</v>
      </c>
      <c r="H15" s="93"/>
      <c r="I15" s="73" t="e">
        <f t="shared" si="1"/>
        <v>#REF!</v>
      </c>
      <c r="J15" s="94"/>
      <c r="K15" s="106"/>
    </row>
    <row r="16" spans="1:11" ht="29.25" customHeight="1" outlineLevel="1">
      <c r="A16" s="814"/>
      <c r="B16" s="62"/>
      <c r="C16" s="777"/>
      <c r="D16" s="779"/>
      <c r="E16" s="73"/>
      <c r="F16" s="73" t="e">
        <f>#REF!</f>
        <v>#REF!</v>
      </c>
      <c r="G16" s="73" t="e">
        <f t="shared" si="0"/>
        <v>#REF!</v>
      </c>
      <c r="H16" s="93"/>
      <c r="I16" s="73" t="e">
        <f t="shared" si="1"/>
        <v>#REF!</v>
      </c>
      <c r="J16" s="94"/>
    </row>
    <row r="17" spans="1:12" ht="29.25" customHeight="1" outlineLevel="1">
      <c r="A17" s="814"/>
      <c r="B17" s="62" t="e">
        <f>#REF!</f>
        <v>#REF!</v>
      </c>
      <c r="C17" s="777" t="e">
        <f>#REF!</f>
        <v>#REF!</v>
      </c>
      <c r="D17" s="779"/>
      <c r="E17" s="73" t="e">
        <f>#REF!</f>
        <v>#REF!</v>
      </c>
      <c r="F17" s="73" t="e">
        <f>#REF!</f>
        <v>#REF!</v>
      </c>
      <c r="G17" s="73" t="e">
        <f t="shared" si="0"/>
        <v>#REF!</v>
      </c>
      <c r="H17" s="93"/>
      <c r="I17" s="73" t="e">
        <f t="shared" si="1"/>
        <v>#REF!</v>
      </c>
      <c r="J17" s="94"/>
    </row>
    <row r="18" spans="1:12" ht="29.25" customHeight="1" outlineLevel="1" thickBot="1">
      <c r="A18" s="814"/>
      <c r="B18" s="62"/>
      <c r="C18" s="777"/>
      <c r="D18" s="779"/>
      <c r="E18" s="73"/>
      <c r="F18" s="73"/>
      <c r="G18" s="73"/>
      <c r="H18" s="93"/>
      <c r="I18" s="73"/>
      <c r="J18" s="92"/>
    </row>
    <row r="19" spans="1:12" ht="29.25" customHeight="1" thickBot="1">
      <c r="A19" s="784"/>
      <c r="B19" s="110" t="s">
        <v>138</v>
      </c>
      <c r="C19" s="803"/>
      <c r="D19" s="804"/>
      <c r="E19" s="111" t="e">
        <f>SUM(E5:E17)</f>
        <v>#REF!</v>
      </c>
      <c r="F19" s="111" t="e">
        <f>SUM(F5:F17)</f>
        <v>#REF!</v>
      </c>
      <c r="G19" s="111" t="e">
        <f>SUM(G5:G17)</f>
        <v>#REF!</v>
      </c>
      <c r="H19" s="111">
        <f>SUM(H5:H17)</f>
        <v>0</v>
      </c>
      <c r="I19" s="111" t="e">
        <f>SUM(I5:I17)</f>
        <v>#REF!</v>
      </c>
      <c r="J19" s="112"/>
      <c r="K19" s="22"/>
      <c r="L19" s="22"/>
    </row>
    <row r="20" spans="1:12" ht="51.75" customHeight="1">
      <c r="A20" s="809" t="s">
        <v>139</v>
      </c>
      <c r="B20" s="63"/>
      <c r="C20" s="784"/>
      <c r="D20" s="785"/>
      <c r="E20" s="133"/>
      <c r="F20" s="72"/>
      <c r="G20" s="72"/>
      <c r="H20" s="72"/>
      <c r="I20" s="72"/>
      <c r="J20" s="72"/>
    </row>
    <row r="21" spans="1:12" ht="51.75" customHeight="1">
      <c r="A21" s="813"/>
      <c r="B21" s="63"/>
      <c r="C21" s="784"/>
      <c r="D21" s="785"/>
      <c r="E21" s="72"/>
      <c r="F21" s="72"/>
      <c r="G21" s="72"/>
      <c r="H21" s="73"/>
      <c r="I21" s="72"/>
      <c r="J21" s="73"/>
    </row>
    <row r="22" spans="1:12" ht="51.75" customHeight="1">
      <c r="A22" s="813"/>
      <c r="B22" s="63"/>
      <c r="C22" s="784"/>
      <c r="D22" s="785"/>
      <c r="E22" s="133"/>
      <c r="F22" s="72"/>
      <c r="G22" s="72"/>
      <c r="H22" s="74"/>
      <c r="I22" s="72"/>
      <c r="J22" s="74"/>
    </row>
    <row r="23" spans="1:12" ht="51.75" customHeight="1" outlineLevel="1">
      <c r="A23" s="814"/>
      <c r="B23" s="63"/>
      <c r="C23" s="784"/>
      <c r="D23" s="785"/>
      <c r="E23" s="72"/>
      <c r="F23" s="72"/>
      <c r="G23" s="72"/>
      <c r="H23" s="74"/>
      <c r="I23" s="72"/>
      <c r="J23" s="74"/>
    </row>
    <row r="24" spans="1:12" ht="51.75" customHeight="1" outlineLevel="1">
      <c r="A24" s="814"/>
      <c r="B24" s="63"/>
      <c r="C24" s="784"/>
      <c r="D24" s="785"/>
      <c r="E24" s="72"/>
      <c r="F24" s="72"/>
      <c r="G24" s="72"/>
      <c r="H24" s="74"/>
      <c r="I24" s="72"/>
      <c r="J24" s="74"/>
    </row>
    <row r="25" spans="1:12" ht="51.75" customHeight="1" outlineLevel="1">
      <c r="A25" s="814"/>
      <c r="B25" s="63"/>
      <c r="C25" s="784"/>
      <c r="D25" s="785"/>
      <c r="E25" s="72"/>
      <c r="F25" s="72"/>
      <c r="G25" s="72"/>
      <c r="H25" s="74"/>
      <c r="I25" s="72"/>
      <c r="J25" s="74"/>
    </row>
    <row r="26" spans="1:12" ht="51.75" customHeight="1" outlineLevel="1">
      <c r="A26" s="814"/>
      <c r="B26" s="63"/>
      <c r="C26" s="784"/>
      <c r="D26" s="785"/>
      <c r="E26" s="72"/>
      <c r="F26" s="72"/>
      <c r="G26" s="72"/>
      <c r="H26" s="74"/>
      <c r="I26" s="72"/>
      <c r="J26" s="74"/>
    </row>
    <row r="27" spans="1:12" ht="51.75" customHeight="1" outlineLevel="1" thickBot="1">
      <c r="A27" s="814"/>
      <c r="B27" s="63"/>
      <c r="C27" s="784"/>
      <c r="D27" s="785"/>
      <c r="E27" s="72"/>
      <c r="F27" s="72"/>
      <c r="G27" s="72"/>
      <c r="H27" s="74"/>
      <c r="I27" s="72"/>
      <c r="J27" s="74"/>
    </row>
    <row r="28" spans="1:12" ht="51.75" customHeight="1" thickBot="1">
      <c r="A28" s="784"/>
      <c r="B28" s="110" t="s">
        <v>138</v>
      </c>
      <c r="C28" s="835" t="s">
        <v>140</v>
      </c>
      <c r="D28" s="836"/>
      <c r="E28" s="113">
        <f>SUM(E20:E25)</f>
        <v>0</v>
      </c>
      <c r="F28" s="113">
        <f>SUM(F20:F25)</f>
        <v>0</v>
      </c>
      <c r="G28" s="113">
        <f>SUM(G20:G25)</f>
        <v>0</v>
      </c>
      <c r="H28" s="113">
        <f>SUM(H20:H25)</f>
        <v>0</v>
      </c>
      <c r="I28" s="113">
        <f>SUM(I20:I25)</f>
        <v>0</v>
      </c>
      <c r="J28" s="114">
        <f>SUM(J20:J23)</f>
        <v>0</v>
      </c>
      <c r="K28" s="22"/>
      <c r="L28" s="22"/>
    </row>
    <row r="29" spans="1:12" ht="30" customHeight="1">
      <c r="A29" s="782" t="s">
        <v>121</v>
      </c>
      <c r="B29" s="137"/>
      <c r="C29" s="801"/>
      <c r="D29" s="802"/>
      <c r="E29" s="50"/>
      <c r="F29" s="50"/>
      <c r="G29" s="51"/>
      <c r="H29" s="85"/>
      <c r="I29" s="87"/>
      <c r="J29" s="85"/>
      <c r="K29" s="22"/>
      <c r="L29" s="22"/>
    </row>
    <row r="30" spans="1:12" ht="30" customHeight="1">
      <c r="A30" s="814"/>
      <c r="B30" s="138"/>
      <c r="C30" s="805"/>
      <c r="D30" s="806"/>
      <c r="E30" s="50"/>
      <c r="F30" s="50"/>
      <c r="G30" s="51"/>
      <c r="H30" s="134"/>
      <c r="I30" s="148"/>
      <c r="J30" s="134"/>
      <c r="K30" s="22"/>
      <c r="L30" s="22"/>
    </row>
    <row r="31" spans="1:12" ht="30" customHeight="1">
      <c r="A31" s="814"/>
      <c r="B31" s="138"/>
      <c r="C31" s="805"/>
      <c r="D31" s="806"/>
      <c r="E31" s="50"/>
      <c r="F31" s="50"/>
      <c r="G31" s="51"/>
      <c r="H31" s="86"/>
      <c r="I31" s="88"/>
      <c r="J31" s="86"/>
      <c r="K31" s="22"/>
      <c r="L31" s="22"/>
    </row>
    <row r="32" spans="1:12" ht="30" customHeight="1">
      <c r="A32" s="814"/>
      <c r="B32" s="138"/>
      <c r="C32" s="805"/>
      <c r="D32" s="806"/>
      <c r="E32" s="50"/>
      <c r="F32" s="50"/>
      <c r="G32" s="51"/>
      <c r="H32" s="86"/>
      <c r="I32" s="88"/>
      <c r="J32" s="86"/>
      <c r="K32" s="22"/>
      <c r="L32" s="22"/>
    </row>
    <row r="33" spans="1:12" ht="30" customHeight="1">
      <c r="A33" s="814"/>
      <c r="B33" s="138"/>
      <c r="C33" s="805"/>
      <c r="D33" s="806"/>
      <c r="E33" s="50"/>
      <c r="F33" s="50"/>
      <c r="G33" s="51"/>
      <c r="H33" s="86"/>
      <c r="I33" s="88"/>
      <c r="J33" s="86"/>
      <c r="K33" s="22"/>
      <c r="L33" s="22"/>
    </row>
    <row r="34" spans="1:12" ht="30" customHeight="1">
      <c r="A34" s="814"/>
      <c r="B34" s="121"/>
      <c r="C34" s="774"/>
      <c r="D34" s="774"/>
      <c r="E34" s="125"/>
      <c r="F34" s="88"/>
      <c r="G34" s="88"/>
      <c r="H34" s="86"/>
      <c r="I34" s="88"/>
      <c r="J34" s="86"/>
      <c r="K34" s="22"/>
      <c r="L34" s="22"/>
    </row>
    <row r="35" spans="1:12" ht="30" customHeight="1">
      <c r="A35" s="813"/>
      <c r="B35" s="121"/>
      <c r="C35" s="774"/>
      <c r="D35" s="774"/>
      <c r="E35" s="88"/>
      <c r="F35" s="88"/>
      <c r="G35" s="88"/>
      <c r="H35" s="86"/>
      <c r="I35" s="88"/>
      <c r="J35" s="86"/>
      <c r="K35" s="22"/>
      <c r="L35" s="22"/>
    </row>
    <row r="36" spans="1:12" ht="30" customHeight="1">
      <c r="A36" s="813"/>
      <c r="B36" s="121"/>
      <c r="C36" s="774"/>
      <c r="D36" s="774"/>
      <c r="E36" s="88"/>
      <c r="F36" s="88"/>
      <c r="G36" s="88"/>
      <c r="H36" s="86"/>
      <c r="I36" s="88"/>
      <c r="J36" s="86"/>
      <c r="K36" s="22"/>
      <c r="L36" s="22"/>
    </row>
    <row r="37" spans="1:12" ht="30" customHeight="1">
      <c r="A37" s="813"/>
      <c r="B37" s="121"/>
      <c r="C37" s="774"/>
      <c r="D37" s="774"/>
      <c r="E37" s="88"/>
      <c r="F37" s="88"/>
      <c r="G37" s="88"/>
      <c r="H37" s="86"/>
      <c r="I37" s="88"/>
      <c r="J37" s="86"/>
      <c r="K37" s="22"/>
      <c r="L37" s="22"/>
    </row>
    <row r="38" spans="1:12" ht="30" customHeight="1">
      <c r="A38" s="813"/>
      <c r="B38" s="121"/>
      <c r="C38" s="774"/>
      <c r="D38" s="774"/>
      <c r="E38" s="88"/>
      <c r="F38" s="88"/>
      <c r="G38" s="88"/>
      <c r="H38" s="86"/>
      <c r="I38" s="88"/>
      <c r="J38" s="86"/>
      <c r="K38" s="22"/>
      <c r="L38" s="22"/>
    </row>
    <row r="39" spans="1:12" ht="30" customHeight="1">
      <c r="A39" s="813"/>
      <c r="B39" s="121"/>
      <c r="C39" s="774"/>
      <c r="D39" s="774"/>
      <c r="E39" s="88"/>
      <c r="F39" s="88"/>
      <c r="G39" s="88"/>
      <c r="H39" s="86"/>
      <c r="I39" s="88"/>
      <c r="J39" s="86"/>
      <c r="K39" s="22"/>
      <c r="L39" s="22"/>
    </row>
    <row r="40" spans="1:12" ht="30" customHeight="1">
      <c r="A40" s="813"/>
      <c r="B40" s="122"/>
      <c r="C40" s="809"/>
      <c r="D40" s="809"/>
      <c r="E40" s="103"/>
      <c r="F40" s="103"/>
      <c r="G40" s="103"/>
      <c r="H40" s="104"/>
      <c r="I40" s="103"/>
      <c r="J40" s="104"/>
      <c r="K40" s="22"/>
      <c r="L40" s="22"/>
    </row>
    <row r="41" spans="1:12" ht="33.75" customHeight="1">
      <c r="A41" s="813"/>
      <c r="B41" s="121"/>
      <c r="C41" s="774"/>
      <c r="D41" s="774"/>
      <c r="E41" s="88"/>
      <c r="F41" s="88"/>
      <c r="G41" s="88"/>
      <c r="H41" s="86"/>
      <c r="I41" s="88"/>
      <c r="J41" s="86"/>
      <c r="K41" s="22"/>
      <c r="L41" s="22"/>
    </row>
    <row r="42" spans="1:12" ht="33.75" customHeight="1" thickBot="1">
      <c r="A42" s="813"/>
      <c r="B42" s="122"/>
      <c r="C42" s="809"/>
      <c r="D42" s="809"/>
      <c r="E42" s="103"/>
      <c r="F42" s="103"/>
      <c r="G42" s="103"/>
      <c r="H42" s="104"/>
      <c r="I42" s="103"/>
      <c r="J42" s="104"/>
      <c r="K42" s="22"/>
      <c r="L42" s="22"/>
    </row>
    <row r="43" spans="1:12" ht="30" customHeight="1" thickBot="1">
      <c r="A43" s="784"/>
      <c r="B43" s="110" t="s">
        <v>138</v>
      </c>
      <c r="C43" s="812"/>
      <c r="D43" s="804"/>
      <c r="E43" s="111">
        <f>SUM(E29:E33)</f>
        <v>0</v>
      </c>
      <c r="F43" s="111">
        <f>SUM(F29:F33)</f>
        <v>0</v>
      </c>
      <c r="G43" s="111">
        <f>SUM(G29:G33)</f>
        <v>0</v>
      </c>
      <c r="H43" s="111">
        <f>SUM(H29:H33)</f>
        <v>0</v>
      </c>
      <c r="I43" s="111">
        <f>SUM(I29:I33)</f>
        <v>0</v>
      </c>
      <c r="J43" s="115">
        <v>0</v>
      </c>
      <c r="K43" s="22"/>
      <c r="L43" s="22"/>
    </row>
    <row r="44" spans="1:12" ht="27" customHeight="1">
      <c r="A44" s="809" t="s">
        <v>141</v>
      </c>
      <c r="B44" s="64" t="e">
        <f>#REF!</f>
        <v>#REF!</v>
      </c>
      <c r="C44" s="810" t="e">
        <f>#REF!</f>
        <v>#REF!</v>
      </c>
      <c r="D44" s="811"/>
      <c r="E44" s="73" t="e">
        <f>#REF!</f>
        <v>#REF!</v>
      </c>
      <c r="F44" s="73" t="e">
        <f>#REF!</f>
        <v>#REF!</v>
      </c>
      <c r="G44" s="77" t="e">
        <f t="shared" ref="G44:G53" si="2">SUM(E44:F44)</f>
        <v>#REF!</v>
      </c>
      <c r="H44" s="72">
        <v>0</v>
      </c>
      <c r="I44" s="87" t="e">
        <f t="shared" ref="I44:I49" si="3">G44-H44</f>
        <v>#REF!</v>
      </c>
      <c r="J44" s="64"/>
    </row>
    <row r="45" spans="1:12" ht="28.5" customHeight="1">
      <c r="A45" s="813"/>
      <c r="B45" s="11" t="e">
        <f>#REF!</f>
        <v>#REF!</v>
      </c>
      <c r="C45" s="807" t="e">
        <f>#REF!</f>
        <v>#REF!</v>
      </c>
      <c r="D45" s="808"/>
      <c r="E45" s="73" t="e">
        <f>#REF!</f>
        <v>#REF!</v>
      </c>
      <c r="F45" s="73" t="e">
        <f>#REF!</f>
        <v>#REF!</v>
      </c>
      <c r="G45" s="75" t="e">
        <f t="shared" si="2"/>
        <v>#REF!</v>
      </c>
      <c r="H45" s="73">
        <v>0</v>
      </c>
      <c r="I45" s="88" t="e">
        <f t="shared" si="3"/>
        <v>#REF!</v>
      </c>
      <c r="J45" s="11"/>
      <c r="K45" s="119"/>
    </row>
    <row r="46" spans="1:12" ht="28.5" customHeight="1">
      <c r="A46" s="813"/>
      <c r="B46" s="11" t="e">
        <f>#REF!</f>
        <v>#REF!</v>
      </c>
      <c r="C46" s="807" t="e">
        <f>#REF!</f>
        <v>#REF!</v>
      </c>
      <c r="D46" s="808"/>
      <c r="E46" s="73" t="e">
        <f>#REF!</f>
        <v>#REF!</v>
      </c>
      <c r="F46" s="73" t="e">
        <f>#REF!</f>
        <v>#REF!</v>
      </c>
      <c r="G46" s="75" t="e">
        <f t="shared" si="2"/>
        <v>#REF!</v>
      </c>
      <c r="H46" s="76">
        <v>0</v>
      </c>
      <c r="I46" s="88" t="e">
        <f t="shared" si="3"/>
        <v>#REF!</v>
      </c>
      <c r="J46" s="11"/>
      <c r="K46" s="119"/>
    </row>
    <row r="47" spans="1:12" ht="28.5" customHeight="1">
      <c r="A47" s="813"/>
      <c r="B47" s="11" t="e">
        <f>#REF!</f>
        <v>#REF!</v>
      </c>
      <c r="C47" s="807" t="e">
        <f>#REF!</f>
        <v>#REF!</v>
      </c>
      <c r="D47" s="808"/>
      <c r="E47" s="123" t="e">
        <f>#REF!</f>
        <v>#REF!</v>
      </c>
      <c r="F47" s="73" t="e">
        <f>#REF!</f>
        <v>#REF!</v>
      </c>
      <c r="G47" s="75" t="e">
        <f t="shared" si="2"/>
        <v>#REF!</v>
      </c>
      <c r="H47" s="76">
        <v>0</v>
      </c>
      <c r="I47" s="88" t="e">
        <f t="shared" si="3"/>
        <v>#REF!</v>
      </c>
      <c r="J47" s="11"/>
    </row>
    <row r="48" spans="1:12" ht="28.5" customHeight="1">
      <c r="A48" s="813"/>
      <c r="B48" s="11" t="e">
        <f>#REF!</f>
        <v>#REF!</v>
      </c>
      <c r="C48" s="807" t="e">
        <f>#REF!</f>
        <v>#REF!</v>
      </c>
      <c r="D48" s="808"/>
      <c r="E48" s="73" t="e">
        <f>#REF!</f>
        <v>#REF!</v>
      </c>
      <c r="F48" s="73" t="e">
        <f>#REF!</f>
        <v>#REF!</v>
      </c>
      <c r="G48" s="75" t="e">
        <f t="shared" si="2"/>
        <v>#REF!</v>
      </c>
      <c r="H48" s="76">
        <v>0</v>
      </c>
      <c r="I48" s="88" t="e">
        <f t="shared" si="3"/>
        <v>#REF!</v>
      </c>
      <c r="J48" s="11"/>
    </row>
    <row r="49" spans="1:12" ht="28.5" customHeight="1" outlineLevel="1">
      <c r="A49" s="813"/>
      <c r="B49" s="11" t="e">
        <f>#REF!</f>
        <v>#REF!</v>
      </c>
      <c r="C49" s="807" t="e">
        <f>#REF!</f>
        <v>#REF!</v>
      </c>
      <c r="D49" s="808"/>
      <c r="E49" s="73" t="e">
        <f>#REF!</f>
        <v>#REF!</v>
      </c>
      <c r="F49" s="73" t="e">
        <f>#REF!</f>
        <v>#REF!</v>
      </c>
      <c r="G49" s="75" t="e">
        <f t="shared" si="2"/>
        <v>#REF!</v>
      </c>
      <c r="H49" s="76">
        <v>0</v>
      </c>
      <c r="I49" s="88" t="e">
        <f t="shared" si="3"/>
        <v>#REF!</v>
      </c>
      <c r="J49" s="11"/>
    </row>
    <row r="50" spans="1:12" ht="28.5" customHeight="1" outlineLevel="1">
      <c r="A50" s="813"/>
      <c r="B50" s="11" t="e">
        <f>#REF!</f>
        <v>#REF!</v>
      </c>
      <c r="C50" s="807" t="e">
        <f>#REF!</f>
        <v>#REF!</v>
      </c>
      <c r="D50" s="808"/>
      <c r="E50" s="73" t="e">
        <f>#REF!</f>
        <v>#REF!</v>
      </c>
      <c r="F50" s="73" t="e">
        <f>#REF!</f>
        <v>#REF!</v>
      </c>
      <c r="G50" s="75" t="e">
        <f t="shared" si="2"/>
        <v>#REF!</v>
      </c>
      <c r="H50" s="76">
        <v>0</v>
      </c>
      <c r="I50" s="88" t="e">
        <f>G50-H50</f>
        <v>#REF!</v>
      </c>
      <c r="J50" s="11"/>
    </row>
    <row r="51" spans="1:12" ht="28.5" customHeight="1" outlineLevel="1">
      <c r="A51" s="813"/>
      <c r="B51" s="11" t="e">
        <f>#REF!</f>
        <v>#REF!</v>
      </c>
      <c r="C51" s="807" t="e">
        <f>#REF!</f>
        <v>#REF!</v>
      </c>
      <c r="D51" s="808"/>
      <c r="E51" s="73" t="e">
        <f>#REF!</f>
        <v>#REF!</v>
      </c>
      <c r="F51" s="73" t="e">
        <f>#REF!</f>
        <v>#REF!</v>
      </c>
      <c r="G51" s="75" t="e">
        <f t="shared" si="2"/>
        <v>#REF!</v>
      </c>
      <c r="H51" s="76">
        <v>0</v>
      </c>
      <c r="I51" s="88" t="e">
        <f>G51-H51</f>
        <v>#REF!</v>
      </c>
      <c r="J51" s="11"/>
    </row>
    <row r="52" spans="1:12" ht="28.5" customHeight="1" outlineLevel="1">
      <c r="A52" s="813"/>
      <c r="B52" s="11" t="e">
        <f>#REF!</f>
        <v>#REF!</v>
      </c>
      <c r="C52" s="807" t="e">
        <f>#REF!</f>
        <v>#REF!</v>
      </c>
      <c r="D52" s="808"/>
      <c r="E52" s="73" t="e">
        <f>#REF!</f>
        <v>#REF!</v>
      </c>
      <c r="F52" s="73" t="e">
        <f>#REF!</f>
        <v>#REF!</v>
      </c>
      <c r="G52" s="75" t="e">
        <f t="shared" si="2"/>
        <v>#REF!</v>
      </c>
      <c r="H52" s="76">
        <v>0</v>
      </c>
      <c r="I52" s="88" t="e">
        <f>G52-H52</f>
        <v>#REF!</v>
      </c>
      <c r="J52" s="11"/>
    </row>
    <row r="53" spans="1:12" ht="28.5" customHeight="1" outlineLevel="1">
      <c r="A53" s="813"/>
      <c r="B53" s="11" t="e">
        <f>#REF!</f>
        <v>#REF!</v>
      </c>
      <c r="C53" s="807" t="e">
        <f>#REF!</f>
        <v>#REF!</v>
      </c>
      <c r="D53" s="808"/>
      <c r="E53" s="73" t="e">
        <f>#REF!</f>
        <v>#REF!</v>
      </c>
      <c r="F53" s="73" t="e">
        <f>#REF!</f>
        <v>#REF!</v>
      </c>
      <c r="G53" s="75" t="e">
        <f t="shared" si="2"/>
        <v>#REF!</v>
      </c>
      <c r="H53" s="76">
        <v>0</v>
      </c>
      <c r="I53" s="88" t="e">
        <f>G53-H53</f>
        <v>#REF!</v>
      </c>
      <c r="J53" s="11"/>
    </row>
    <row r="54" spans="1:12" ht="28.5" customHeight="1" outlineLevel="1">
      <c r="A54" s="813"/>
      <c r="B54" s="11"/>
      <c r="C54" s="807"/>
      <c r="D54" s="808"/>
      <c r="E54" s="73"/>
      <c r="F54" s="73"/>
      <c r="G54" s="75"/>
      <c r="H54" s="76"/>
      <c r="I54" s="88"/>
      <c r="J54" s="11"/>
    </row>
    <row r="55" spans="1:12" ht="28.5" customHeight="1" outlineLevel="1">
      <c r="A55" s="813"/>
      <c r="B55" s="11"/>
      <c r="C55" s="807"/>
      <c r="D55" s="808"/>
      <c r="E55" s="73"/>
      <c r="F55" s="73"/>
      <c r="G55" s="75"/>
      <c r="H55" s="76"/>
      <c r="I55" s="88"/>
      <c r="J55" s="11"/>
    </row>
    <row r="56" spans="1:12" ht="28.5" customHeight="1" outlineLevel="1">
      <c r="A56" s="813"/>
      <c r="B56" s="11"/>
      <c r="C56" s="807"/>
      <c r="D56" s="808"/>
      <c r="E56" s="73"/>
      <c r="F56" s="73"/>
      <c r="G56" s="75"/>
      <c r="H56" s="76"/>
      <c r="I56" s="88"/>
      <c r="J56" s="11"/>
    </row>
    <row r="57" spans="1:12" ht="28.5" customHeight="1" outlineLevel="1" thickBot="1">
      <c r="A57" s="813"/>
      <c r="B57" s="11"/>
      <c r="C57" s="815"/>
      <c r="D57" s="816"/>
      <c r="E57" s="73"/>
      <c r="F57" s="73"/>
      <c r="G57" s="75"/>
      <c r="H57" s="76"/>
      <c r="I57" s="88"/>
      <c r="J57" s="11"/>
    </row>
    <row r="58" spans="1:12" ht="27" customHeight="1" thickBot="1">
      <c r="A58" s="79"/>
      <c r="B58" s="127" t="s">
        <v>138</v>
      </c>
      <c r="C58" s="128"/>
      <c r="D58" s="129"/>
      <c r="E58" s="111" t="e">
        <f>SUM(E44:E57)</f>
        <v>#REF!</v>
      </c>
      <c r="F58" s="111" t="e">
        <f>SUM(F44:F57)</f>
        <v>#REF!</v>
      </c>
      <c r="G58" s="111" t="e">
        <f>SUM(G44:G57)</f>
        <v>#REF!</v>
      </c>
      <c r="H58" s="111">
        <f>SUM(H44:H57)</f>
        <v>0</v>
      </c>
      <c r="I58" s="111" t="e">
        <f>SUM(I44:I57)</f>
        <v>#REF!</v>
      </c>
      <c r="J58" s="113">
        <f>SUM(J45:J57)</f>
        <v>0</v>
      </c>
      <c r="K58" s="106"/>
      <c r="L58" s="109"/>
    </row>
    <row r="59" spans="1:12" ht="25.5" customHeight="1">
      <c r="A59" s="124"/>
      <c r="B59" s="130" t="e">
        <f>#REF!</f>
        <v>#REF!</v>
      </c>
      <c r="C59" s="832" t="e">
        <f>#REF!</f>
        <v>#REF!</v>
      </c>
      <c r="D59" s="833"/>
      <c r="E59" s="126" t="e">
        <f>#REF!</f>
        <v>#REF!</v>
      </c>
      <c r="F59" s="47" t="e">
        <f>E59*0.1</f>
        <v>#REF!</v>
      </c>
      <c r="G59" s="48" t="e">
        <f>E59+F59</f>
        <v>#REF!</v>
      </c>
      <c r="H59" s="72"/>
      <c r="I59" s="72" t="e">
        <f>G59</f>
        <v>#REF!</v>
      </c>
      <c r="J59" s="64"/>
    </row>
    <row r="60" spans="1:12" ht="25.5" customHeight="1">
      <c r="A60" s="54"/>
      <c r="B60" s="135"/>
      <c r="C60" s="814"/>
      <c r="D60" s="837"/>
      <c r="E60" s="90"/>
      <c r="F60" s="90"/>
      <c r="G60" s="91"/>
      <c r="H60" s="73"/>
      <c r="I60" s="72"/>
      <c r="J60" s="11"/>
    </row>
    <row r="61" spans="1:12" ht="25.5" customHeight="1">
      <c r="A61" s="54"/>
      <c r="B61" s="63"/>
      <c r="C61" s="777"/>
      <c r="D61" s="834"/>
      <c r="E61" s="47"/>
      <c r="F61" s="47"/>
      <c r="G61" s="48"/>
      <c r="H61" s="73"/>
      <c r="I61" s="72"/>
      <c r="J61" s="11"/>
    </row>
    <row r="62" spans="1:12" ht="25.5" customHeight="1">
      <c r="A62" s="54"/>
      <c r="B62" s="131"/>
      <c r="C62" s="814"/>
      <c r="D62" s="837"/>
      <c r="E62" s="90"/>
      <c r="F62" s="90"/>
      <c r="G62" s="91"/>
      <c r="H62" s="73"/>
      <c r="I62" s="72"/>
      <c r="J62" s="11"/>
    </row>
    <row r="63" spans="1:12" ht="25.5" customHeight="1">
      <c r="A63" s="53" t="s">
        <v>142</v>
      </c>
      <c r="B63" s="135"/>
      <c r="C63" s="824"/>
      <c r="D63" s="825"/>
      <c r="E63" s="123"/>
      <c r="F63" s="123"/>
      <c r="G63" s="123"/>
      <c r="H63" s="123"/>
      <c r="I63" s="133"/>
      <c r="J63" s="136"/>
    </row>
    <row r="64" spans="1:12" ht="25.5" customHeight="1">
      <c r="A64" s="53"/>
      <c r="B64" s="131"/>
      <c r="C64" s="814"/>
      <c r="D64" s="837"/>
      <c r="E64" s="90"/>
      <c r="F64" s="90"/>
      <c r="G64" s="91"/>
      <c r="H64" s="74"/>
      <c r="I64" s="132"/>
      <c r="J64" s="94"/>
    </row>
    <row r="65" spans="1:12" ht="25.5" customHeight="1">
      <c r="A65" s="53"/>
      <c r="B65" s="135"/>
      <c r="C65" s="824"/>
      <c r="D65" s="825"/>
      <c r="E65" s="123"/>
      <c r="F65" s="123"/>
      <c r="G65" s="123"/>
      <c r="H65" s="123">
        <f>H63+H64</f>
        <v>0</v>
      </c>
      <c r="I65" s="123">
        <f>I63+I64</f>
        <v>0</v>
      </c>
      <c r="J65" s="136"/>
    </row>
    <row r="66" spans="1:12" ht="25.5" customHeight="1">
      <c r="A66" s="53"/>
      <c r="B66" s="63" t="s">
        <v>183</v>
      </c>
      <c r="C66" s="784"/>
      <c r="D66" s="785"/>
      <c r="E66" s="72" t="e">
        <f>SUM(E59:E65)</f>
        <v>#REF!</v>
      </c>
      <c r="F66" s="72" t="e">
        <f>SUM(F59:F65)</f>
        <v>#REF!</v>
      </c>
      <c r="G66" s="72" t="e">
        <f>E66+F66</f>
        <v>#REF!</v>
      </c>
      <c r="H66" s="72"/>
      <c r="I66" s="72" t="e">
        <f>SUM(I59:I65)</f>
        <v>#REF!</v>
      </c>
      <c r="J66" s="64"/>
    </row>
    <row r="67" spans="1:12" ht="25.5" customHeight="1" outlineLevel="2">
      <c r="A67" s="52"/>
      <c r="B67" s="63" t="s">
        <v>179</v>
      </c>
      <c r="C67" s="777" t="s">
        <v>180</v>
      </c>
      <c r="D67" s="834"/>
      <c r="E67" s="47"/>
      <c r="F67" s="47"/>
      <c r="G67" s="48"/>
      <c r="H67" s="73"/>
      <c r="I67" s="72"/>
      <c r="J67" s="11"/>
    </row>
    <row r="68" spans="1:12" ht="25.5" customHeight="1" outlineLevel="2">
      <c r="A68" s="53"/>
      <c r="B68" s="131" t="s">
        <v>179</v>
      </c>
      <c r="C68" s="814" t="s">
        <v>181</v>
      </c>
      <c r="D68" s="837"/>
      <c r="E68" s="90" t="e">
        <f>#REF!</f>
        <v>#REF!</v>
      </c>
      <c r="F68" s="90" t="e">
        <f>#REF!</f>
        <v>#REF!</v>
      </c>
      <c r="G68" s="48" t="e">
        <f>E68+F68</f>
        <v>#REF!</v>
      </c>
      <c r="H68" s="73" t="e">
        <f>G68</f>
        <v>#REF!</v>
      </c>
      <c r="I68" s="72"/>
      <c r="J68" s="11"/>
    </row>
    <row r="69" spans="1:12" ht="25.5" customHeight="1" outlineLevel="2" thickBot="1">
      <c r="A69" s="53"/>
      <c r="B69" s="139" t="s">
        <v>172</v>
      </c>
      <c r="C69" s="830"/>
      <c r="D69" s="831"/>
      <c r="E69" s="140" t="e">
        <f>E67+E68</f>
        <v>#REF!</v>
      </c>
      <c r="F69" s="140" t="e">
        <f>F67+F68</f>
        <v>#REF!</v>
      </c>
      <c r="G69" s="140" t="e">
        <f>E69+F69</f>
        <v>#REF!</v>
      </c>
      <c r="H69" s="140" t="e">
        <f>SUM(H67:H68)</f>
        <v>#REF!</v>
      </c>
      <c r="I69" s="141"/>
      <c r="J69" s="142"/>
    </row>
    <row r="70" spans="1:12" ht="25.5" customHeight="1" thickBot="1">
      <c r="A70" s="9"/>
      <c r="B70" s="110" t="s">
        <v>143</v>
      </c>
      <c r="C70" s="804"/>
      <c r="D70" s="804"/>
      <c r="E70" s="111" t="e">
        <f>E66+E69</f>
        <v>#REF!</v>
      </c>
      <c r="F70" s="111" t="e">
        <f>F66+F69</f>
        <v>#REF!</v>
      </c>
      <c r="G70" s="111" t="e">
        <f>G66+G69</f>
        <v>#REF!</v>
      </c>
      <c r="H70" s="111">
        <f>G61+G62</f>
        <v>0</v>
      </c>
      <c r="I70" s="111" t="e">
        <f>I66+I69</f>
        <v>#REF!</v>
      </c>
      <c r="J70" s="115"/>
      <c r="K70" s="22"/>
      <c r="L70" s="22"/>
    </row>
    <row r="71" spans="1:12" ht="25.5" customHeight="1">
      <c r="A71" s="52" t="s">
        <v>144</v>
      </c>
      <c r="B71" s="62" t="s">
        <v>182</v>
      </c>
      <c r="C71" s="832" t="e">
        <f>#REF!</f>
        <v>#REF!</v>
      </c>
      <c r="D71" s="833"/>
      <c r="E71" s="147" t="e">
        <f>#REF!</f>
        <v>#REF!</v>
      </c>
      <c r="F71" s="47" t="e">
        <f>E71*0.1</f>
        <v>#REF!</v>
      </c>
      <c r="G71" s="48" t="e">
        <f>E71+F71</f>
        <v>#REF!</v>
      </c>
      <c r="H71" s="72">
        <v>0</v>
      </c>
      <c r="I71" s="72" t="e">
        <f>G71</f>
        <v>#REF!</v>
      </c>
      <c r="J71" s="64"/>
    </row>
    <row r="72" spans="1:12" ht="25.5" customHeight="1">
      <c r="A72" s="53"/>
      <c r="B72" s="143"/>
      <c r="C72" s="777" t="e">
        <f>#REF!</f>
        <v>#REF!</v>
      </c>
      <c r="D72" s="779"/>
      <c r="E72" s="72" t="e">
        <f>#REF!</f>
        <v>#REF!</v>
      </c>
      <c r="F72" s="72" t="e">
        <f>#REF!</f>
        <v>#REF!</v>
      </c>
      <c r="G72" s="72" t="e">
        <f>E72+F72</f>
        <v>#REF!</v>
      </c>
      <c r="H72" s="72">
        <v>0</v>
      </c>
      <c r="I72" s="72" t="e">
        <f>G72-H72</f>
        <v>#REF!</v>
      </c>
      <c r="J72" s="64"/>
    </row>
    <row r="73" spans="1:12" ht="25.5" customHeight="1">
      <c r="A73" s="53"/>
      <c r="B73" s="143"/>
      <c r="C73" s="777" t="e">
        <f>#REF!</f>
        <v>#REF!</v>
      </c>
      <c r="D73" s="779"/>
      <c r="E73" s="72" t="e">
        <f>#REF!</f>
        <v>#REF!</v>
      </c>
      <c r="F73" s="72" t="e">
        <f>#REF!</f>
        <v>#REF!</v>
      </c>
      <c r="G73" s="72" t="e">
        <f>E73+F73</f>
        <v>#REF!</v>
      </c>
      <c r="H73" s="72">
        <v>0</v>
      </c>
      <c r="I73" s="72" t="e">
        <f>G73-H73</f>
        <v>#REF!</v>
      </c>
      <c r="J73" s="64"/>
    </row>
    <row r="74" spans="1:12" ht="25.5" customHeight="1" thickBot="1">
      <c r="A74" s="53"/>
      <c r="B74" s="143"/>
      <c r="C74" s="828" t="e">
        <f>#REF!</f>
        <v>#REF!</v>
      </c>
      <c r="D74" s="829"/>
      <c r="E74" s="72" t="e">
        <f>#REF!</f>
        <v>#REF!</v>
      </c>
      <c r="F74" s="72" t="e">
        <f>#REF!</f>
        <v>#REF!</v>
      </c>
      <c r="G74" s="72" t="e">
        <f>E74+F74</f>
        <v>#REF!</v>
      </c>
      <c r="H74" s="72">
        <v>0</v>
      </c>
      <c r="I74" s="72" t="e">
        <f>G74-H74</f>
        <v>#REF!</v>
      </c>
      <c r="J74" s="64"/>
    </row>
    <row r="75" spans="1:12" ht="25.5" customHeight="1" thickBot="1">
      <c r="A75" s="54"/>
      <c r="B75" s="110" t="s">
        <v>143</v>
      </c>
      <c r="C75" s="804"/>
      <c r="D75" s="804"/>
      <c r="E75" s="111" t="e">
        <f t="shared" ref="E75:J75" si="4">SUM(E71:E74)</f>
        <v>#REF!</v>
      </c>
      <c r="F75" s="111" t="e">
        <f t="shared" si="4"/>
        <v>#REF!</v>
      </c>
      <c r="G75" s="111" t="e">
        <f t="shared" si="4"/>
        <v>#REF!</v>
      </c>
      <c r="H75" s="111">
        <f t="shared" si="4"/>
        <v>0</v>
      </c>
      <c r="I75" s="111" t="e">
        <f t="shared" si="4"/>
        <v>#REF!</v>
      </c>
      <c r="J75" s="116">
        <f t="shared" si="4"/>
        <v>0</v>
      </c>
      <c r="K75" s="22"/>
      <c r="L75" s="22"/>
    </row>
    <row r="76" spans="1:12" s="65" customFormat="1" ht="25.5" customHeight="1">
      <c r="A76" s="145"/>
      <c r="B76" s="144" t="s">
        <v>145</v>
      </c>
      <c r="C76" s="826"/>
      <c r="D76" s="826"/>
      <c r="E76" s="95" t="e">
        <f>E75+E70+E58+E43+E28+E19</f>
        <v>#REF!</v>
      </c>
      <c r="F76" s="95" t="e">
        <f>F75+F70+F58+F43+F28+F19</f>
        <v>#REF!</v>
      </c>
      <c r="G76" s="95" t="e">
        <f>G75+G70+G58+G43+G28+G19</f>
        <v>#REF!</v>
      </c>
      <c r="H76" s="95">
        <f>H75+H70+H58+H43+H28+H19</f>
        <v>0</v>
      </c>
      <c r="I76" s="95" t="e">
        <f>I75+I70+I58+I43+I28+I19</f>
        <v>#REF!</v>
      </c>
      <c r="J76" s="78"/>
      <c r="K76" s="22"/>
      <c r="L76" s="22"/>
    </row>
    <row r="77" spans="1:12" s="66" customFormat="1">
      <c r="C77" s="827"/>
      <c r="D77" s="827"/>
    </row>
    <row r="78" spans="1:12">
      <c r="E78" s="22"/>
      <c r="F78" s="22"/>
      <c r="G78" s="22"/>
      <c r="H78" s="22"/>
      <c r="I78" s="22"/>
      <c r="J78" s="24"/>
      <c r="K78" s="22"/>
    </row>
    <row r="79" spans="1:12">
      <c r="F79" s="109"/>
      <c r="G79" s="22"/>
      <c r="H79" s="22"/>
      <c r="I79" s="67"/>
      <c r="K79" s="22"/>
    </row>
    <row r="80" spans="1:12">
      <c r="E80" s="22"/>
      <c r="F80" s="22"/>
      <c r="G80" s="22"/>
      <c r="H80" s="23"/>
      <c r="I80" s="22"/>
      <c r="K80" s="22"/>
    </row>
    <row r="81" spans="5:12">
      <c r="E81" s="22"/>
      <c r="F81" s="22"/>
      <c r="G81" s="22"/>
      <c r="H81" s="22"/>
      <c r="I81" s="22"/>
      <c r="J81" s="24"/>
      <c r="K81" s="22"/>
      <c r="L81" s="68"/>
    </row>
    <row r="82" spans="5:12">
      <c r="F82" s="22"/>
      <c r="G82" s="22"/>
      <c r="H82" s="22"/>
      <c r="I82" s="22"/>
      <c r="J82" s="22"/>
    </row>
    <row r="83" spans="5:12">
      <c r="F83" s="69"/>
      <c r="G83" s="70"/>
      <c r="H83" s="71"/>
      <c r="I83" s="22"/>
      <c r="K83" s="22"/>
    </row>
    <row r="84" spans="5:12">
      <c r="G84" s="22"/>
      <c r="I84" s="22"/>
    </row>
    <row r="85" spans="5:12">
      <c r="E85" s="22"/>
      <c r="F85" s="22"/>
      <c r="G85" s="22"/>
      <c r="I85" s="22"/>
    </row>
    <row r="86" spans="5:12">
      <c r="F86" s="22"/>
      <c r="G86" s="22"/>
    </row>
    <row r="89" spans="5:12">
      <c r="F89" s="22"/>
    </row>
  </sheetData>
  <mergeCells count="87">
    <mergeCell ref="C63:D63"/>
    <mergeCell ref="C67:D67"/>
    <mergeCell ref="C28:D28"/>
    <mergeCell ref="C68:D68"/>
    <mergeCell ref="C62:D62"/>
    <mergeCell ref="C64:D64"/>
    <mergeCell ref="C60:D60"/>
    <mergeCell ref="C59:D59"/>
    <mergeCell ref="C66:D66"/>
    <mergeCell ref="C56:D56"/>
    <mergeCell ref="C61:D61"/>
    <mergeCell ref="C47:D47"/>
    <mergeCell ref="C51:D51"/>
    <mergeCell ref="C53:D53"/>
    <mergeCell ref="C50:D50"/>
    <mergeCell ref="C48:D48"/>
    <mergeCell ref="C65:D65"/>
    <mergeCell ref="C76:D76"/>
    <mergeCell ref="C77:D77"/>
    <mergeCell ref="C75:D75"/>
    <mergeCell ref="C72:D72"/>
    <mergeCell ref="C73:D73"/>
    <mergeCell ref="C70:D70"/>
    <mergeCell ref="C74:D74"/>
    <mergeCell ref="C69:D69"/>
    <mergeCell ref="C71:D71"/>
    <mergeCell ref="A20:A28"/>
    <mergeCell ref="C20:D20"/>
    <mergeCell ref="C21:D21"/>
    <mergeCell ref="C22:D22"/>
    <mergeCell ref="C25:D25"/>
    <mergeCell ref="C24:D24"/>
    <mergeCell ref="C23:D23"/>
    <mergeCell ref="C26:D26"/>
    <mergeCell ref="C27:D27"/>
    <mergeCell ref="A5:A19"/>
    <mergeCell ref="C5:D5"/>
    <mergeCell ref="C6:D6"/>
    <mergeCell ref="C8:D8"/>
    <mergeCell ref="C9:D9"/>
    <mergeCell ref="C10:D10"/>
    <mergeCell ref="C17:D17"/>
    <mergeCell ref="C13:D13"/>
    <mergeCell ref="C18:D18"/>
    <mergeCell ref="C7:D7"/>
    <mergeCell ref="A1:J1"/>
    <mergeCell ref="F2:I2"/>
    <mergeCell ref="A3:A4"/>
    <mergeCell ref="B3:B4"/>
    <mergeCell ref="C3:D4"/>
    <mergeCell ref="E3:E4"/>
    <mergeCell ref="F3:F4"/>
    <mergeCell ref="J3:J4"/>
    <mergeCell ref="G3:G4"/>
    <mergeCell ref="H3:H4"/>
    <mergeCell ref="I3:I4"/>
    <mergeCell ref="A44:A57"/>
    <mergeCell ref="C55:D55"/>
    <mergeCell ref="A29:A43"/>
    <mergeCell ref="C41:D41"/>
    <mergeCell ref="C42:D42"/>
    <mergeCell ref="C39:D39"/>
    <mergeCell ref="C30:D30"/>
    <mergeCell ref="C57:D57"/>
    <mergeCell ref="C38:D38"/>
    <mergeCell ref="C36:D36"/>
    <mergeCell ref="C45:D45"/>
    <mergeCell ref="C46:D46"/>
    <mergeCell ref="C52:D52"/>
    <mergeCell ref="C54:D54"/>
    <mergeCell ref="C31:D31"/>
    <mergeCell ref="C33:D33"/>
    <mergeCell ref="C32:D32"/>
    <mergeCell ref="C49:D49"/>
    <mergeCell ref="C40:D40"/>
    <mergeCell ref="C37:D37"/>
    <mergeCell ref="C44:D44"/>
    <mergeCell ref="C34:D34"/>
    <mergeCell ref="C35:D35"/>
    <mergeCell ref="C43:D43"/>
    <mergeCell ref="C29:D29"/>
    <mergeCell ref="C11:D11"/>
    <mergeCell ref="C14:D14"/>
    <mergeCell ref="C15:D15"/>
    <mergeCell ref="C16:D16"/>
    <mergeCell ref="C12:D12"/>
    <mergeCell ref="C19:D19"/>
  </mergeCells>
  <phoneticPr fontId="5" type="noConversion"/>
  <printOptions horizontalCentered="1"/>
  <pageMargins left="0.48" right="0.39370078740157483" top="0.6" bottom="0.31496062992125984" header="0.31496062992125984" footer="0.27559055118110237"/>
  <pageSetup paperSize="9" scale="91" orientation="landscape" horizontalDpi="4294967295" verticalDpi="300" r:id="rId1"/>
  <headerFooter alignWithMargins="0"/>
  <rowBreaks count="5" manualBreakCount="5">
    <brk id="19" max="9" man="1"/>
    <brk id="28" max="9" man="1"/>
    <brk id="43" max="9" man="1"/>
    <brk id="58" max="9" man="1"/>
    <brk id="76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FFFF00"/>
  </sheetPr>
  <dimension ref="A1:U15"/>
  <sheetViews>
    <sheetView workbookViewId="0">
      <selection sqref="A1:L1"/>
    </sheetView>
  </sheetViews>
  <sheetFormatPr defaultRowHeight="13.5"/>
  <cols>
    <col min="1" max="1" width="4" style="164" customWidth="1"/>
    <col min="2" max="2" width="12.625" style="164" customWidth="1"/>
    <col min="3" max="3" width="14.25" style="164" customWidth="1"/>
    <col min="4" max="4" width="13.875" style="164" bestFit="1" customWidth="1"/>
    <col min="5" max="15" width="15" style="164" customWidth="1"/>
    <col min="16" max="20" width="10.75" style="164" hidden="1" customWidth="1"/>
    <col min="21" max="21" width="13.25" style="164" customWidth="1"/>
    <col min="22" max="22" width="9" style="164"/>
    <col min="23" max="23" width="17.25" style="164" bestFit="1" customWidth="1"/>
    <col min="24" max="16384" width="9" style="164"/>
  </cols>
  <sheetData>
    <row r="1" spans="1:21" ht="65.25" customHeight="1">
      <c r="A1" s="851" t="s">
        <v>148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  <c r="M1" s="257"/>
      <c r="N1" s="257"/>
      <c r="O1" s="851"/>
      <c r="P1" s="851"/>
      <c r="Q1" s="851"/>
      <c r="R1" s="851"/>
      <c r="S1" s="851"/>
      <c r="T1" s="851"/>
      <c r="U1" s="851"/>
    </row>
    <row r="2" spans="1:21" ht="42.75" customHeight="1">
      <c r="A2" s="840" t="s">
        <v>471</v>
      </c>
      <c r="B2" s="840"/>
      <c r="C2" s="840"/>
      <c r="D2" s="840"/>
      <c r="E2" s="840"/>
      <c r="F2" s="840"/>
      <c r="G2" s="840"/>
      <c r="H2" s="840"/>
      <c r="I2" s="840"/>
      <c r="J2" s="840"/>
      <c r="K2" s="258"/>
      <c r="L2" s="258"/>
      <c r="M2" s="258"/>
      <c r="N2" s="258"/>
      <c r="O2" s="851"/>
      <c r="P2" s="851"/>
      <c r="Q2" s="851"/>
      <c r="R2" s="851"/>
      <c r="S2" s="851"/>
      <c r="T2" s="851"/>
      <c r="U2" s="851"/>
    </row>
    <row r="3" spans="1:21" ht="42.75" customHeight="1" thickBot="1">
      <c r="A3" s="840" t="str">
        <f>공사청구!B6</f>
        <v>공사기간 : 2024.09.30~2024.11.28</v>
      </c>
      <c r="B3" s="840"/>
      <c r="C3" s="840"/>
      <c r="D3" s="840"/>
      <c r="E3" s="840"/>
      <c r="F3" s="840"/>
      <c r="G3" s="840"/>
      <c r="H3" s="840"/>
      <c r="I3" s="840"/>
      <c r="J3" s="304"/>
      <c r="K3" s="258"/>
      <c r="L3" s="258"/>
      <c r="M3" s="258"/>
      <c r="N3" s="258"/>
      <c r="O3" s="851"/>
      <c r="P3" s="851"/>
      <c r="Q3" s="851"/>
      <c r="R3" s="851"/>
      <c r="S3" s="851"/>
      <c r="T3" s="851"/>
      <c r="U3" s="851"/>
    </row>
    <row r="4" spans="1:21" s="295" customFormat="1" ht="58.5" customHeight="1" thickBot="1">
      <c r="A4" s="841" t="s">
        <v>269</v>
      </c>
      <c r="B4" s="842"/>
      <c r="C4" s="842"/>
      <c r="D4" s="293" t="s">
        <v>270</v>
      </c>
      <c r="E4" s="293" t="s">
        <v>419</v>
      </c>
      <c r="F4" s="293" t="s">
        <v>420</v>
      </c>
      <c r="G4" s="293"/>
      <c r="H4" s="293"/>
      <c r="I4" s="293"/>
      <c r="J4" s="293"/>
      <c r="K4" s="293"/>
      <c r="L4" s="293"/>
      <c r="M4" s="293"/>
      <c r="N4" s="293"/>
      <c r="O4" s="293"/>
      <c r="P4" s="293" t="s">
        <v>389</v>
      </c>
      <c r="Q4" s="293" t="s">
        <v>390</v>
      </c>
      <c r="R4" s="293" t="s">
        <v>160</v>
      </c>
      <c r="S4" s="293" t="s">
        <v>161</v>
      </c>
      <c r="T4" s="293" t="s">
        <v>158</v>
      </c>
      <c r="U4" s="294" t="s">
        <v>271</v>
      </c>
    </row>
    <row r="5" spans="1:21" s="295" customFormat="1" ht="58.5" customHeight="1">
      <c r="A5" s="849" t="s">
        <v>162</v>
      </c>
      <c r="B5" s="850"/>
      <c r="C5" s="850"/>
      <c r="D5" s="374">
        <f>공사청구!H13</f>
        <v>1572500</v>
      </c>
      <c r="E5" s="296">
        <f>'업체별지급현황(재료비)'!E$25</f>
        <v>0</v>
      </c>
      <c r="F5" s="296">
        <f>'업체별지급현황(재료비)'!F$25</f>
        <v>2510000</v>
      </c>
      <c r="G5" s="296">
        <f>'업체별지급현황(재료비)'!G$25</f>
        <v>0</v>
      </c>
      <c r="H5" s="296">
        <f>'업체별지급현황(재료비)'!H$25</f>
        <v>0</v>
      </c>
      <c r="I5" s="296">
        <f>'업체별지급현황(재료비)'!I$25</f>
        <v>0</v>
      </c>
      <c r="J5" s="296">
        <f>'업체별지급현황(재료비)'!J$25</f>
        <v>0</v>
      </c>
      <c r="K5" s="296">
        <f>'업체별지급현황(재료비)'!K$25</f>
        <v>0</v>
      </c>
      <c r="L5" s="296">
        <f>'업체별지급현황(재료비)'!L$25</f>
        <v>0</v>
      </c>
      <c r="M5" s="296">
        <f>'업체별지급현황(재료비)'!M$25</f>
        <v>0</v>
      </c>
      <c r="N5" s="296">
        <f>'업체별지급현황(재료비)'!N$25</f>
        <v>0</v>
      </c>
      <c r="O5" s="296">
        <f>'업체별지급현황(재료비)'!O$25</f>
        <v>0</v>
      </c>
      <c r="P5" s="296"/>
      <c r="Q5" s="296"/>
      <c r="R5" s="296"/>
      <c r="S5" s="296"/>
      <c r="T5" s="296"/>
      <c r="U5" s="297">
        <f>SUM(E5:T5)</f>
        <v>2510000</v>
      </c>
    </row>
    <row r="6" spans="1:21" s="295" customFormat="1" ht="58.5" customHeight="1">
      <c r="A6" s="843" t="s">
        <v>163</v>
      </c>
      <c r="B6" s="844"/>
      <c r="C6" s="844"/>
      <c r="D6" s="375">
        <f>공사청구!H14</f>
        <v>2206070</v>
      </c>
      <c r="E6" s="298">
        <f>'업체별지급현황(노무비)'!E25</f>
        <v>0</v>
      </c>
      <c r="F6" s="298">
        <f>'업체별지급현황(노무비)'!F25</f>
        <v>0</v>
      </c>
      <c r="G6" s="298">
        <f>'업체별지급현황(노무비)'!G25</f>
        <v>0</v>
      </c>
      <c r="H6" s="298">
        <f>'업체별지급현황(노무비)'!H25</f>
        <v>0</v>
      </c>
      <c r="I6" s="298">
        <f>'업체별지급현황(노무비)'!I25</f>
        <v>0</v>
      </c>
      <c r="J6" s="298">
        <f>'업체별지급현황(노무비)'!J25</f>
        <v>0</v>
      </c>
      <c r="K6" s="298">
        <f>'업체별지급현황(노무비)'!K25</f>
        <v>0</v>
      </c>
      <c r="L6" s="298">
        <f>'업체별지급현황(노무비)'!L25</f>
        <v>0</v>
      </c>
      <c r="M6" s="298">
        <f>'업체별지급현황(노무비)'!M25</f>
        <v>0</v>
      </c>
      <c r="N6" s="298">
        <f>'업체별지급현황(노무비)'!N25</f>
        <v>0</v>
      </c>
      <c r="O6" s="298">
        <f>'업체별지급현황(노무비)'!O25</f>
        <v>0</v>
      </c>
      <c r="P6" s="298">
        <f>'업체별지급현황(노무비)'!P25</f>
        <v>0</v>
      </c>
      <c r="Q6" s="298">
        <f>'업체별지급현황(노무비)'!Q25</f>
        <v>0</v>
      </c>
      <c r="R6" s="298">
        <f>'업체별지급현황(노무비)'!R25</f>
        <v>0</v>
      </c>
      <c r="S6" s="298">
        <f>'업체별지급현황(노무비)'!S25</f>
        <v>0</v>
      </c>
      <c r="T6" s="298">
        <f>'업체별지급현황(노무비)'!T25</f>
        <v>0</v>
      </c>
      <c r="U6" s="299">
        <f t="shared" ref="U6:U13" si="0">SUM(E6:T6)</f>
        <v>0</v>
      </c>
    </row>
    <row r="7" spans="1:21" s="295" customFormat="1" ht="58.5" customHeight="1">
      <c r="A7" s="843" t="s">
        <v>164</v>
      </c>
      <c r="B7" s="844"/>
      <c r="C7" s="844"/>
      <c r="D7" s="375">
        <f>공사청구!H15</f>
        <v>12049769</v>
      </c>
      <c r="E7" s="298">
        <f>'업체별지급현황(경비)'!E25</f>
        <v>0</v>
      </c>
      <c r="F7" s="298">
        <f>'업체별지급현황(경비)'!F25</f>
        <v>0</v>
      </c>
      <c r="G7" s="298">
        <f>'업체별지급현황(경비)'!G25</f>
        <v>0</v>
      </c>
      <c r="H7" s="298">
        <f>'업체별지급현황(경비)'!H25</f>
        <v>0</v>
      </c>
      <c r="I7" s="298">
        <f>'업체별지급현황(경비)'!I25</f>
        <v>0</v>
      </c>
      <c r="J7" s="298">
        <f>'업체별지급현황(경비)'!J25</f>
        <v>0</v>
      </c>
      <c r="K7" s="298">
        <f>'업체별지급현황(경비)'!K25</f>
        <v>0</v>
      </c>
      <c r="L7" s="298">
        <f>'업체별지급현황(경비)'!L25</f>
        <v>0</v>
      </c>
      <c r="M7" s="298">
        <f>'업체별지급현황(경비)'!M25</f>
        <v>0</v>
      </c>
      <c r="N7" s="298">
        <f>'업체별지급현황(경비)'!N25</f>
        <v>0</v>
      </c>
      <c r="O7" s="298">
        <f>'업체별지급현황(경비)'!O25</f>
        <v>0</v>
      </c>
      <c r="P7" s="298">
        <f>'업체별지급현황(경비)'!P25</f>
        <v>0</v>
      </c>
      <c r="Q7" s="298">
        <f>'업체별지급현황(경비)'!Q25</f>
        <v>0</v>
      </c>
      <c r="R7" s="298">
        <f>'업체별지급현황(경비)'!R25</f>
        <v>0</v>
      </c>
      <c r="S7" s="298">
        <f>'업체별지급현황(경비)'!S25</f>
        <v>0</v>
      </c>
      <c r="T7" s="298">
        <f>'업체별지급현황(경비)'!T25</f>
        <v>0</v>
      </c>
      <c r="U7" s="299">
        <f t="shared" si="0"/>
        <v>0</v>
      </c>
    </row>
    <row r="8" spans="1:21" s="295" customFormat="1" ht="58.5" customHeight="1">
      <c r="A8" s="843" t="s">
        <v>165</v>
      </c>
      <c r="B8" s="844"/>
      <c r="C8" s="844"/>
      <c r="D8" s="375">
        <f>공사청구!H16</f>
        <v>0</v>
      </c>
      <c r="E8" s="298">
        <f>'업체별지급현황(장비비)'!E25</f>
        <v>0</v>
      </c>
      <c r="F8" s="298">
        <f>'업체별지급현황(장비비)'!F25</f>
        <v>0</v>
      </c>
      <c r="G8" s="298">
        <f>'업체별지급현황(장비비)'!G25</f>
        <v>0</v>
      </c>
      <c r="H8" s="298">
        <f>'업체별지급현황(장비비)'!H25</f>
        <v>0</v>
      </c>
      <c r="I8" s="298">
        <f>'업체별지급현황(장비비)'!I25</f>
        <v>0</v>
      </c>
      <c r="J8" s="298">
        <f>'업체별지급현황(장비비)'!J25</f>
        <v>0</v>
      </c>
      <c r="K8" s="298">
        <f>'업체별지급현황(장비비)'!K25</f>
        <v>0</v>
      </c>
      <c r="L8" s="298">
        <f>'업체별지급현황(장비비)'!L25</f>
        <v>0</v>
      </c>
      <c r="M8" s="298">
        <f>'업체별지급현황(장비비)'!M25</f>
        <v>0</v>
      </c>
      <c r="N8" s="298">
        <f>'업체별지급현황(장비비)'!N25</f>
        <v>0</v>
      </c>
      <c r="O8" s="298">
        <f>'업체별지급현황(장비비)'!O25</f>
        <v>0</v>
      </c>
      <c r="P8" s="298">
        <f>'업체별지급현황(장비비)'!P25</f>
        <v>0</v>
      </c>
      <c r="Q8" s="298">
        <f>'업체별지급현황(장비비)'!Q25</f>
        <v>0</v>
      </c>
      <c r="R8" s="298">
        <f>'업체별지급현황(장비비)'!R25</f>
        <v>0</v>
      </c>
      <c r="S8" s="298">
        <f>'업체별지급현황(장비비)'!S25</f>
        <v>0</v>
      </c>
      <c r="T8" s="298">
        <f>'업체별지급현황(장비비)'!T25</f>
        <v>0</v>
      </c>
      <c r="U8" s="299">
        <f t="shared" si="0"/>
        <v>0</v>
      </c>
    </row>
    <row r="9" spans="1:21" s="295" customFormat="1" ht="58.5" customHeight="1">
      <c r="A9" s="843" t="s">
        <v>166</v>
      </c>
      <c r="B9" s="844"/>
      <c r="C9" s="844"/>
      <c r="D9" s="375">
        <f>공사청구!H17</f>
        <v>90855500</v>
      </c>
      <c r="E9" s="298">
        <f>'업체별지급현황(외주비)'!E25</f>
        <v>0</v>
      </c>
      <c r="F9" s="298">
        <f>'업체별지급현황(외주비)'!F25</f>
        <v>101505000</v>
      </c>
      <c r="G9" s="298">
        <f>'업체별지급현황(외주비)'!G25</f>
        <v>0</v>
      </c>
      <c r="H9" s="298">
        <f>'업체별지급현황(외주비)'!H25</f>
        <v>0</v>
      </c>
      <c r="I9" s="298">
        <f>'업체별지급현황(외주비)'!I25</f>
        <v>0</v>
      </c>
      <c r="J9" s="298">
        <f>'업체별지급현황(외주비)'!J25</f>
        <v>0</v>
      </c>
      <c r="K9" s="298">
        <f>'업체별지급현황(외주비)'!K25</f>
        <v>0</v>
      </c>
      <c r="L9" s="298">
        <f>'업체별지급현황(외주비)'!L25</f>
        <v>0</v>
      </c>
      <c r="M9" s="298">
        <f>'업체별지급현황(외주비)'!M25</f>
        <v>0</v>
      </c>
      <c r="N9" s="298">
        <f>'업체별지급현황(외주비)'!N25</f>
        <v>0</v>
      </c>
      <c r="O9" s="298">
        <f>'업체별지급현황(외주비)'!O25</f>
        <v>0</v>
      </c>
      <c r="P9" s="298"/>
      <c r="Q9" s="298"/>
      <c r="R9" s="298"/>
      <c r="S9" s="298"/>
      <c r="T9" s="298"/>
      <c r="U9" s="299">
        <f t="shared" si="0"/>
        <v>101505000</v>
      </c>
    </row>
    <row r="10" spans="1:21" s="295" customFormat="1" ht="58.5" customHeight="1">
      <c r="A10" s="843" t="s">
        <v>125</v>
      </c>
      <c r="B10" s="844"/>
      <c r="C10" s="844"/>
      <c r="D10" s="375">
        <f>공사청구!H19</f>
        <v>1000000</v>
      </c>
      <c r="E10" s="298">
        <f>'업체별지급현황(현장관리비)'!E29</f>
        <v>840500</v>
      </c>
      <c r="F10" s="298">
        <f>'업체별지급현황(현장관리비)'!F29</f>
        <v>350000</v>
      </c>
      <c r="G10" s="298">
        <f>'업체별지급현황(현장관리비)'!G29</f>
        <v>0</v>
      </c>
      <c r="H10" s="298">
        <f>'업체별지급현황(현장관리비)'!H29</f>
        <v>0</v>
      </c>
      <c r="I10" s="298">
        <f>'업체별지급현황(현장관리비)'!I29</f>
        <v>0</v>
      </c>
      <c r="J10" s="298">
        <f>'업체별지급현황(현장관리비)'!J29</f>
        <v>0</v>
      </c>
      <c r="K10" s="298">
        <f>'업체별지급현황(현장관리비)'!K29</f>
        <v>0</v>
      </c>
      <c r="L10" s="298">
        <f>'업체별지급현황(현장관리비)'!L29</f>
        <v>0</v>
      </c>
      <c r="M10" s="298">
        <f>'업체별지급현황(현장관리비)'!M29</f>
        <v>0</v>
      </c>
      <c r="N10" s="298">
        <f>'업체별지급현황(현장관리비)'!N29</f>
        <v>0</v>
      </c>
      <c r="O10" s="298">
        <f>'업체별지급현황(현장관리비)'!O29</f>
        <v>0</v>
      </c>
      <c r="P10" s="298"/>
      <c r="Q10" s="298"/>
      <c r="R10" s="298"/>
      <c r="S10" s="298"/>
      <c r="T10" s="298"/>
      <c r="U10" s="299">
        <f t="shared" si="0"/>
        <v>1190500</v>
      </c>
    </row>
    <row r="11" spans="1:21" s="295" customFormat="1" ht="58.5" customHeight="1">
      <c r="A11" s="843" t="s">
        <v>203</v>
      </c>
      <c r="B11" s="844"/>
      <c r="C11" s="844"/>
      <c r="D11" s="375">
        <f>공사청구!H20</f>
        <v>10000000</v>
      </c>
      <c r="E11" s="298">
        <v>5000000</v>
      </c>
      <c r="F11" s="298">
        <v>5000000</v>
      </c>
      <c r="G11" s="298"/>
      <c r="H11" s="298"/>
      <c r="I11" s="298"/>
      <c r="J11" s="298"/>
      <c r="K11" s="298"/>
      <c r="L11" s="298"/>
      <c r="M11" s="298"/>
      <c r="N11" s="298"/>
      <c r="O11" s="298"/>
      <c r="P11" s="298"/>
      <c r="Q11" s="298"/>
      <c r="R11" s="298"/>
      <c r="S11" s="298"/>
      <c r="T11" s="298"/>
      <c r="U11" s="299">
        <f t="shared" si="0"/>
        <v>10000000</v>
      </c>
    </row>
    <row r="12" spans="1:21" s="295" customFormat="1" ht="58.5" customHeight="1" thickBot="1">
      <c r="A12" s="845" t="s">
        <v>470</v>
      </c>
      <c r="B12" s="846"/>
      <c r="C12" s="846"/>
      <c r="D12" s="376">
        <f>공사청구!H21</f>
        <v>5804361</v>
      </c>
      <c r="E12" s="300">
        <f>'업체별지급현황(안전,환경,폐기물)'!E25</f>
        <v>4395000</v>
      </c>
      <c r="F12" s="300">
        <f>'업체별지급현황(안전,환경,폐기물)'!F25</f>
        <v>650000</v>
      </c>
      <c r="G12" s="300">
        <f>'업체별지급현황(안전,환경,폐기물)'!G25</f>
        <v>0</v>
      </c>
      <c r="H12" s="300">
        <f>'업체별지급현황(안전,환경,폐기물)'!H25</f>
        <v>0</v>
      </c>
      <c r="I12" s="300">
        <f>'업체별지급현황(안전,환경,폐기물)'!I25</f>
        <v>0</v>
      </c>
      <c r="J12" s="300">
        <f>'업체별지급현황(안전,환경,폐기물)'!J25</f>
        <v>0</v>
      </c>
      <c r="K12" s="300">
        <f>'업체별지급현황(안전,환경,폐기물)'!K25</f>
        <v>0</v>
      </c>
      <c r="L12" s="300">
        <f>'업체별지급현황(안전,환경,폐기물)'!L25</f>
        <v>0</v>
      </c>
      <c r="M12" s="300">
        <f>'업체별지급현황(안전,환경,폐기물)'!M25</f>
        <v>0</v>
      </c>
      <c r="N12" s="300">
        <f>'업체별지급현황(안전,환경,폐기물)'!N25</f>
        <v>0</v>
      </c>
      <c r="O12" s="300">
        <f>'업체별지급현황(안전,환경,폐기물)'!O25</f>
        <v>0</v>
      </c>
      <c r="P12" s="300"/>
      <c r="Q12" s="300"/>
      <c r="R12" s="300"/>
      <c r="S12" s="300"/>
      <c r="T12" s="300"/>
      <c r="U12" s="301">
        <f t="shared" si="0"/>
        <v>5045000</v>
      </c>
    </row>
    <row r="13" spans="1:21" s="328" customFormat="1" ht="58.5" customHeight="1" thickBot="1">
      <c r="A13" s="847" t="s">
        <v>167</v>
      </c>
      <c r="B13" s="848"/>
      <c r="C13" s="848"/>
      <c r="D13" s="377">
        <f>SUM(D5:D12)</f>
        <v>123488200</v>
      </c>
      <c r="E13" s="326">
        <f t="shared" ref="E13:R13" si="1">SUM(E5:E12)</f>
        <v>10235500</v>
      </c>
      <c r="F13" s="326">
        <f t="shared" si="1"/>
        <v>110015000</v>
      </c>
      <c r="G13" s="326">
        <f t="shared" si="1"/>
        <v>0</v>
      </c>
      <c r="H13" s="326">
        <f t="shared" si="1"/>
        <v>0</v>
      </c>
      <c r="I13" s="326">
        <f t="shared" si="1"/>
        <v>0</v>
      </c>
      <c r="J13" s="326">
        <f t="shared" si="1"/>
        <v>0</v>
      </c>
      <c r="K13" s="326">
        <f t="shared" si="1"/>
        <v>0</v>
      </c>
      <c r="L13" s="326">
        <f t="shared" si="1"/>
        <v>0</v>
      </c>
      <c r="M13" s="326">
        <f t="shared" si="1"/>
        <v>0</v>
      </c>
      <c r="N13" s="326">
        <f t="shared" si="1"/>
        <v>0</v>
      </c>
      <c r="O13" s="326">
        <f t="shared" si="1"/>
        <v>0</v>
      </c>
      <c r="P13" s="326">
        <f t="shared" si="1"/>
        <v>0</v>
      </c>
      <c r="Q13" s="326">
        <f t="shared" si="1"/>
        <v>0</v>
      </c>
      <c r="R13" s="326">
        <f t="shared" si="1"/>
        <v>0</v>
      </c>
      <c r="S13" s="326">
        <f>SUM(S5:S12)</f>
        <v>0</v>
      </c>
      <c r="T13" s="326">
        <f>SUM(T5:T12)</f>
        <v>0</v>
      </c>
      <c r="U13" s="327">
        <f t="shared" si="0"/>
        <v>120250500</v>
      </c>
    </row>
    <row r="14" spans="1:21" s="328" customFormat="1" ht="58.5" customHeight="1" thickBot="1">
      <c r="A14" s="838" t="s">
        <v>168</v>
      </c>
      <c r="B14" s="839"/>
      <c r="C14" s="839"/>
      <c r="D14" s="329">
        <f>D13</f>
        <v>123488200</v>
      </c>
      <c r="E14" s="329">
        <f>E13</f>
        <v>10235500</v>
      </c>
      <c r="F14" s="329">
        <f t="shared" ref="F14:N14" si="2">E14+F13</f>
        <v>120250500</v>
      </c>
      <c r="G14" s="329">
        <f t="shared" si="2"/>
        <v>120250500</v>
      </c>
      <c r="H14" s="329">
        <f t="shared" si="2"/>
        <v>120250500</v>
      </c>
      <c r="I14" s="329">
        <f>H14+I13</f>
        <v>120250500</v>
      </c>
      <c r="J14" s="329">
        <f t="shared" si="2"/>
        <v>120250500</v>
      </c>
      <c r="K14" s="329">
        <f>J14+K13</f>
        <v>120250500</v>
      </c>
      <c r="L14" s="329">
        <f t="shared" si="2"/>
        <v>120250500</v>
      </c>
      <c r="M14" s="329">
        <f t="shared" si="2"/>
        <v>120250500</v>
      </c>
      <c r="N14" s="329">
        <f t="shared" si="2"/>
        <v>120250500</v>
      </c>
      <c r="O14" s="329">
        <f t="shared" ref="O14:T14" si="3">N14+O13</f>
        <v>120250500</v>
      </c>
      <c r="P14" s="329">
        <f t="shared" si="3"/>
        <v>120250500</v>
      </c>
      <c r="Q14" s="329">
        <f t="shared" si="3"/>
        <v>120250500</v>
      </c>
      <c r="R14" s="329">
        <f t="shared" si="3"/>
        <v>120250500</v>
      </c>
      <c r="S14" s="329">
        <f t="shared" si="3"/>
        <v>120250500</v>
      </c>
      <c r="T14" s="329">
        <f t="shared" si="3"/>
        <v>120250500</v>
      </c>
      <c r="U14" s="330"/>
    </row>
    <row r="15" spans="1:21" ht="11.25" customHeight="1">
      <c r="A15" s="259"/>
      <c r="B15" s="259"/>
      <c r="C15" s="259"/>
      <c r="D15" s="259"/>
      <c r="E15" s="260"/>
      <c r="F15" s="260"/>
      <c r="G15" s="260"/>
      <c r="H15" s="260"/>
      <c r="I15" s="260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</row>
  </sheetData>
  <mergeCells count="15">
    <mergeCell ref="O1:U3"/>
    <mergeCell ref="A8:C8"/>
    <mergeCell ref="A9:C9"/>
    <mergeCell ref="A10:C10"/>
    <mergeCell ref="A1:L1"/>
    <mergeCell ref="A14:C14"/>
    <mergeCell ref="A3:I3"/>
    <mergeCell ref="A4:C4"/>
    <mergeCell ref="A2:J2"/>
    <mergeCell ref="A11:C11"/>
    <mergeCell ref="A12:C12"/>
    <mergeCell ref="A13:C13"/>
    <mergeCell ref="A5:C5"/>
    <mergeCell ref="A6:C6"/>
    <mergeCell ref="A7:C7"/>
  </mergeCells>
  <phoneticPr fontId="5" type="noConversion"/>
  <printOptions horizontalCentered="1"/>
  <pageMargins left="0.23622047244094491" right="0.19685039370078741" top="0.59055118110236227" bottom="0.35433070866141736" header="0" footer="0"/>
  <pageSetup paperSize="9" scale="55" fitToWidth="9" fitToHeight="9" orientation="landscape" r:id="rId1"/>
  <headerFooter alignWithMargins="0"/>
  <rowBreaks count="1" manualBreakCount="1">
    <brk id="14" max="19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FFFF00"/>
  </sheetPr>
  <dimension ref="A1:V247"/>
  <sheetViews>
    <sheetView workbookViewId="0">
      <selection sqref="A1:U1"/>
    </sheetView>
  </sheetViews>
  <sheetFormatPr defaultRowHeight="13.5"/>
  <cols>
    <col min="1" max="1" width="16.5" style="43" customWidth="1"/>
    <col min="2" max="2" width="13.25" style="43" customWidth="1"/>
    <col min="3" max="17" width="6.5" style="168" customWidth="1"/>
    <col min="18" max="18" width="6.5" style="167" customWidth="1"/>
    <col min="19" max="20" width="10" style="167" customWidth="1"/>
    <col min="21" max="21" width="10" style="43" customWidth="1"/>
    <col min="22" max="22" width="9.75" style="43" bestFit="1" customWidth="1"/>
    <col min="23" max="16384" width="9" style="43"/>
  </cols>
  <sheetData>
    <row r="1" spans="1:22" ht="24.75" customHeight="1">
      <c r="A1" s="858" t="s">
        <v>325</v>
      </c>
      <c r="B1" s="858"/>
      <c r="C1" s="858"/>
      <c r="D1" s="858"/>
      <c r="E1" s="858"/>
      <c r="F1" s="858"/>
      <c r="G1" s="858"/>
      <c r="H1" s="858"/>
      <c r="I1" s="858"/>
      <c r="J1" s="858"/>
      <c r="K1" s="858"/>
      <c r="L1" s="858"/>
      <c r="M1" s="858"/>
      <c r="N1" s="858"/>
      <c r="O1" s="858"/>
      <c r="P1" s="858"/>
      <c r="Q1" s="858"/>
      <c r="R1" s="858"/>
      <c r="S1" s="858"/>
      <c r="T1" s="858"/>
      <c r="U1" s="858"/>
    </row>
    <row r="2" spans="1:22" ht="18.75" customHeight="1">
      <c r="A2" s="160" t="str">
        <f>'업체별지급현황(총괄)'!A2:J2</f>
        <v>현 장 명 : 어양중 본관동 강당동 방수공사 및 기타공사</v>
      </c>
      <c r="B2" s="159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1"/>
      <c r="S2" s="171"/>
      <c r="T2" s="171"/>
      <c r="U2" s="159"/>
    </row>
    <row r="3" spans="1:22" ht="18.75" customHeight="1">
      <c r="A3" s="160" t="e">
        <f>#REF!</f>
        <v>#REF!</v>
      </c>
      <c r="B3" s="146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3"/>
      <c r="S3" s="173"/>
      <c r="T3" s="173"/>
      <c r="U3" s="146"/>
    </row>
    <row r="4" spans="1:22" ht="13.5" customHeight="1">
      <c r="A4" s="868" t="s">
        <v>8</v>
      </c>
      <c r="B4" s="868" t="s">
        <v>9</v>
      </c>
      <c r="C4" s="858" t="s">
        <v>10</v>
      </c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O4" s="858"/>
      <c r="P4" s="858"/>
      <c r="Q4" s="858"/>
      <c r="R4" s="858"/>
      <c r="S4" s="858" t="s">
        <v>11</v>
      </c>
      <c r="T4" s="858" t="s">
        <v>194</v>
      </c>
      <c r="U4" s="868" t="s">
        <v>0</v>
      </c>
    </row>
    <row r="5" spans="1:22" ht="13.5" customHeight="1">
      <c r="A5" s="863"/>
      <c r="B5" s="863"/>
      <c r="C5" s="182">
        <v>1</v>
      </c>
      <c r="D5" s="182">
        <v>2</v>
      </c>
      <c r="E5" s="182">
        <v>3</v>
      </c>
      <c r="F5" s="182">
        <v>4</v>
      </c>
      <c r="G5" s="182">
        <v>5</v>
      </c>
      <c r="H5" s="182">
        <v>6</v>
      </c>
      <c r="I5" s="182">
        <v>7</v>
      </c>
      <c r="J5" s="182">
        <v>8</v>
      </c>
      <c r="K5" s="182">
        <v>9</v>
      </c>
      <c r="L5" s="182">
        <v>10</v>
      </c>
      <c r="M5" s="182">
        <v>11</v>
      </c>
      <c r="N5" s="182">
        <v>12</v>
      </c>
      <c r="O5" s="182">
        <v>13</v>
      </c>
      <c r="P5" s="182">
        <v>14</v>
      </c>
      <c r="Q5" s="182">
        <v>15</v>
      </c>
      <c r="R5" s="182"/>
      <c r="S5" s="858"/>
      <c r="T5" s="858"/>
      <c r="U5" s="863"/>
    </row>
    <row r="6" spans="1:22" ht="13.5" customHeight="1">
      <c r="A6" s="865"/>
      <c r="B6" s="863"/>
      <c r="C6" s="182">
        <v>16</v>
      </c>
      <c r="D6" s="182">
        <v>17</v>
      </c>
      <c r="E6" s="182">
        <v>18</v>
      </c>
      <c r="F6" s="182">
        <v>19</v>
      </c>
      <c r="G6" s="182">
        <v>20</v>
      </c>
      <c r="H6" s="182">
        <v>21</v>
      </c>
      <c r="I6" s="182">
        <v>22</v>
      </c>
      <c r="J6" s="182">
        <v>23</v>
      </c>
      <c r="K6" s="182">
        <v>24</v>
      </c>
      <c r="L6" s="182">
        <v>25</v>
      </c>
      <c r="M6" s="182">
        <v>26</v>
      </c>
      <c r="N6" s="182">
        <v>27</v>
      </c>
      <c r="O6" s="182">
        <v>28</v>
      </c>
      <c r="P6" s="182">
        <v>29</v>
      </c>
      <c r="Q6" s="182">
        <v>30</v>
      </c>
      <c r="R6" s="182">
        <v>31</v>
      </c>
      <c r="S6" s="858"/>
      <c r="T6" s="858"/>
      <c r="U6" s="865"/>
    </row>
    <row r="7" spans="1:22" s="96" customFormat="1" ht="13.5" customHeight="1">
      <c r="A7" s="183" t="s">
        <v>195</v>
      </c>
      <c r="B7" s="858" t="s">
        <v>310</v>
      </c>
      <c r="C7" s="181"/>
      <c r="D7" s="180"/>
      <c r="E7" s="180"/>
      <c r="F7" s="180"/>
      <c r="G7" s="180"/>
      <c r="H7" s="180"/>
      <c r="I7" s="180"/>
      <c r="J7" s="180"/>
      <c r="K7" s="180"/>
      <c r="L7" s="180"/>
      <c r="M7" s="180">
        <v>3</v>
      </c>
      <c r="N7" s="180"/>
      <c r="O7" s="180"/>
      <c r="P7" s="180"/>
      <c r="Q7" s="180"/>
      <c r="R7" s="180"/>
      <c r="S7" s="852">
        <f>SUM(C7:R8)</f>
        <v>57</v>
      </c>
      <c r="T7" s="852">
        <v>58200</v>
      </c>
      <c r="U7" s="854">
        <f>S7*T7</f>
        <v>3317400</v>
      </c>
    </row>
    <row r="8" spans="1:22" s="96" customFormat="1" ht="13.5" customHeight="1">
      <c r="A8" s="184" t="s">
        <v>196</v>
      </c>
      <c r="B8" s="858"/>
      <c r="C8" s="181"/>
      <c r="D8" s="180"/>
      <c r="E8" s="180"/>
      <c r="F8" s="180"/>
      <c r="G8" s="180">
        <v>54</v>
      </c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5"/>
      <c r="S8" s="853"/>
      <c r="T8" s="853"/>
      <c r="U8" s="855"/>
    </row>
    <row r="9" spans="1:22" s="96" customFormat="1" ht="13.5" customHeight="1">
      <c r="A9" s="183" t="s">
        <v>195</v>
      </c>
      <c r="B9" s="858"/>
      <c r="C9" s="181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6"/>
      <c r="S9" s="852">
        <f>SUM(C9:R10)</f>
        <v>636</v>
      </c>
      <c r="T9" s="852">
        <v>64000</v>
      </c>
      <c r="U9" s="854">
        <f>S9*T9</f>
        <v>40704000</v>
      </c>
    </row>
    <row r="10" spans="1:22" s="96" customFormat="1" ht="13.5" customHeight="1">
      <c r="A10" s="184" t="s">
        <v>319</v>
      </c>
      <c r="B10" s="858"/>
      <c r="C10" s="181"/>
      <c r="D10" s="180"/>
      <c r="E10" s="180"/>
      <c r="F10" s="180"/>
      <c r="G10" s="180"/>
      <c r="H10" s="180"/>
      <c r="I10" s="180"/>
      <c r="J10" s="180"/>
      <c r="K10" s="180"/>
      <c r="L10" s="180">
        <v>636</v>
      </c>
      <c r="M10" s="187"/>
      <c r="N10" s="180"/>
      <c r="O10" s="180"/>
      <c r="P10" s="180"/>
      <c r="Q10" s="180"/>
      <c r="R10" s="185"/>
      <c r="S10" s="853"/>
      <c r="T10" s="853"/>
      <c r="U10" s="855"/>
      <c r="V10" s="166">
        <f>59399200+14505800</f>
        <v>73905000</v>
      </c>
    </row>
    <row r="11" spans="1:22" s="96" customFormat="1" ht="13.5" customHeight="1">
      <c r="A11" s="183" t="s">
        <v>195</v>
      </c>
      <c r="B11" s="858"/>
      <c r="C11" s="181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6"/>
      <c r="S11" s="852">
        <f>SUM(C11:R12)</f>
        <v>0</v>
      </c>
      <c r="T11" s="852"/>
      <c r="U11" s="854">
        <f>S11*T11</f>
        <v>0</v>
      </c>
    </row>
    <row r="12" spans="1:22" s="96" customFormat="1" ht="13.5" customHeight="1">
      <c r="A12" s="184" t="s">
        <v>261</v>
      </c>
      <c r="B12" s="858"/>
      <c r="C12" s="181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6"/>
      <c r="S12" s="853"/>
      <c r="T12" s="853"/>
      <c r="U12" s="855"/>
    </row>
    <row r="13" spans="1:22" s="96" customFormat="1" ht="13.5" customHeight="1">
      <c r="A13" s="183" t="s">
        <v>195</v>
      </c>
      <c r="B13" s="858"/>
      <c r="C13" s="181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6"/>
      <c r="S13" s="852">
        <f>SUM(C13:R14)</f>
        <v>0</v>
      </c>
      <c r="T13" s="852"/>
      <c r="U13" s="854">
        <f>S13*T13</f>
        <v>0</v>
      </c>
    </row>
    <row r="14" spans="1:22" s="96" customFormat="1" ht="13.5" customHeight="1">
      <c r="A14" s="184"/>
      <c r="B14" s="858"/>
      <c r="C14" s="181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6"/>
      <c r="S14" s="853"/>
      <c r="T14" s="853"/>
      <c r="U14" s="855"/>
    </row>
    <row r="15" spans="1:22" s="96" customFormat="1" ht="13.5" customHeight="1">
      <c r="A15" s="183" t="s">
        <v>195</v>
      </c>
      <c r="B15" s="858"/>
      <c r="C15" s="181"/>
      <c r="D15" s="180"/>
      <c r="E15" s="180"/>
      <c r="F15" s="180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6"/>
      <c r="S15" s="852">
        <f>SUM(C15:R16)</f>
        <v>0</v>
      </c>
      <c r="T15" s="852"/>
      <c r="U15" s="854">
        <f>S15*T15</f>
        <v>0</v>
      </c>
    </row>
    <row r="16" spans="1:22" s="96" customFormat="1" ht="13.5" customHeight="1">
      <c r="A16" s="184"/>
      <c r="B16" s="858"/>
      <c r="C16" s="181"/>
      <c r="D16" s="180"/>
      <c r="E16" s="180"/>
      <c r="F16" s="180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6"/>
      <c r="S16" s="853"/>
      <c r="T16" s="853"/>
      <c r="U16" s="855"/>
    </row>
    <row r="17" spans="1:22" s="96" customFormat="1" ht="13.5" customHeight="1">
      <c r="A17" s="183"/>
      <c r="B17" s="858"/>
      <c r="C17" s="181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6"/>
      <c r="S17" s="852">
        <f>SUM(C17:R18)</f>
        <v>0</v>
      </c>
      <c r="T17" s="852"/>
      <c r="U17" s="854">
        <f>S17*T17</f>
        <v>0</v>
      </c>
    </row>
    <row r="18" spans="1:22" s="96" customFormat="1" ht="13.5" customHeight="1">
      <c r="A18" s="189"/>
      <c r="B18" s="858"/>
      <c r="C18" s="181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6"/>
      <c r="S18" s="853"/>
      <c r="T18" s="853"/>
      <c r="U18" s="855"/>
    </row>
    <row r="19" spans="1:22" s="96" customFormat="1" ht="13.5" hidden="1" customHeight="1">
      <c r="A19" s="183" t="s">
        <v>195</v>
      </c>
      <c r="B19" s="858"/>
      <c r="C19" s="181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6"/>
      <c r="S19" s="852">
        <f>SUM(C19:R20)</f>
        <v>0</v>
      </c>
      <c r="T19" s="852">
        <v>57900</v>
      </c>
      <c r="U19" s="854">
        <f>S19*T19</f>
        <v>0</v>
      </c>
    </row>
    <row r="20" spans="1:22" s="96" customFormat="1" ht="13.5" hidden="1" customHeight="1">
      <c r="A20" s="184" t="s">
        <v>260</v>
      </c>
      <c r="B20" s="858"/>
      <c r="C20" s="181"/>
      <c r="D20" s="180"/>
      <c r="E20" s="180"/>
      <c r="F20" s="180"/>
      <c r="G20" s="180"/>
      <c r="H20" s="180"/>
      <c r="I20" s="180"/>
      <c r="J20" s="180"/>
      <c r="K20" s="180"/>
      <c r="L20" s="180"/>
      <c r="M20" s="187"/>
      <c r="N20" s="180"/>
      <c r="O20" s="180"/>
      <c r="P20" s="180"/>
      <c r="Q20" s="180"/>
      <c r="R20" s="185"/>
      <c r="S20" s="853"/>
      <c r="T20" s="853"/>
      <c r="U20" s="855"/>
      <c r="V20" s="166">
        <f>59399200+14505800</f>
        <v>73905000</v>
      </c>
    </row>
    <row r="21" spans="1:22" s="96" customFormat="1" ht="13.5" hidden="1" customHeight="1">
      <c r="A21" s="183" t="s">
        <v>195</v>
      </c>
      <c r="B21" s="858"/>
      <c r="C21" s="181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6"/>
      <c r="S21" s="852">
        <f>SUM(C21:R22)</f>
        <v>0</v>
      </c>
      <c r="T21" s="852">
        <v>59500</v>
      </c>
      <c r="U21" s="854">
        <f>S21*T21</f>
        <v>0</v>
      </c>
    </row>
    <row r="22" spans="1:22" s="96" customFormat="1" ht="13.5" hidden="1" customHeight="1">
      <c r="A22" s="184" t="s">
        <v>302</v>
      </c>
      <c r="B22" s="858"/>
      <c r="C22" s="181"/>
      <c r="D22" s="180"/>
      <c r="E22" s="180"/>
      <c r="F22" s="180"/>
      <c r="G22" s="180"/>
      <c r="H22" s="180"/>
      <c r="I22" s="180"/>
      <c r="J22" s="180"/>
      <c r="K22" s="180"/>
      <c r="L22" s="180"/>
      <c r="M22" s="187"/>
      <c r="N22" s="180"/>
      <c r="O22" s="180"/>
      <c r="P22" s="180"/>
      <c r="Q22" s="180"/>
      <c r="R22" s="185"/>
      <c r="S22" s="853"/>
      <c r="T22" s="853"/>
      <c r="U22" s="855"/>
      <c r="V22" s="166">
        <f>59399200+14505800</f>
        <v>73905000</v>
      </c>
    </row>
    <row r="23" spans="1:22" s="96" customFormat="1" ht="13.5" hidden="1" customHeight="1">
      <c r="A23" s="183" t="s">
        <v>195</v>
      </c>
      <c r="B23" s="858"/>
      <c r="C23" s="181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6"/>
      <c r="S23" s="852">
        <f>SUM(C23:R24)</f>
        <v>0</v>
      </c>
      <c r="T23" s="852">
        <v>61200</v>
      </c>
      <c r="U23" s="854">
        <f>S23*T23</f>
        <v>0</v>
      </c>
    </row>
    <row r="24" spans="1:22" s="96" customFormat="1" ht="13.5" hidden="1" customHeight="1">
      <c r="A24" s="184" t="s">
        <v>261</v>
      </c>
      <c r="B24" s="858"/>
      <c r="C24" s="181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6"/>
      <c r="S24" s="853"/>
      <c r="T24" s="853"/>
      <c r="U24" s="855"/>
    </row>
    <row r="25" spans="1:22" s="96" customFormat="1" ht="13.5" hidden="1" customHeight="1">
      <c r="A25" s="183" t="s">
        <v>195</v>
      </c>
      <c r="B25" s="858"/>
      <c r="C25" s="181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6"/>
      <c r="S25" s="852">
        <f>SUM(C25:R26)</f>
        <v>0</v>
      </c>
      <c r="T25" s="852">
        <v>61500</v>
      </c>
      <c r="U25" s="854">
        <f>S25*T25</f>
        <v>0</v>
      </c>
    </row>
    <row r="26" spans="1:22" s="96" customFormat="1" ht="13.5" hidden="1" customHeight="1">
      <c r="A26" s="184" t="s">
        <v>303</v>
      </c>
      <c r="B26" s="858"/>
      <c r="C26" s="181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6"/>
      <c r="S26" s="853"/>
      <c r="T26" s="853"/>
      <c r="U26" s="855"/>
    </row>
    <row r="27" spans="1:22" s="96" customFormat="1" ht="13.5" hidden="1" customHeight="1">
      <c r="A27" s="183" t="s">
        <v>195</v>
      </c>
      <c r="B27" s="858"/>
      <c r="C27" s="181"/>
      <c r="D27" s="180"/>
      <c r="E27" s="180"/>
      <c r="F27" s="180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6"/>
      <c r="S27" s="869">
        <f>SUM(C27:R28)</f>
        <v>0</v>
      </c>
      <c r="T27" s="852">
        <v>65300</v>
      </c>
      <c r="U27" s="854">
        <f>S27*T27</f>
        <v>0</v>
      </c>
    </row>
    <row r="28" spans="1:22" s="96" customFormat="1" ht="13.5" hidden="1" customHeight="1">
      <c r="A28" s="184" t="s">
        <v>263</v>
      </c>
      <c r="B28" s="858"/>
      <c r="C28" s="181"/>
      <c r="D28" s="180"/>
      <c r="E28" s="180"/>
      <c r="F28" s="180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6"/>
      <c r="S28" s="858"/>
      <c r="T28" s="853"/>
      <c r="U28" s="855"/>
    </row>
    <row r="29" spans="1:22" s="96" customFormat="1" ht="13.5" hidden="1" customHeight="1">
      <c r="A29" s="183" t="s">
        <v>258</v>
      </c>
      <c r="B29" s="858"/>
      <c r="C29" s="181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6"/>
      <c r="S29" s="852">
        <f>SUM(C29:R30)</f>
        <v>0</v>
      </c>
      <c r="T29" s="852">
        <v>78200</v>
      </c>
      <c r="U29" s="854">
        <f>S29*T29</f>
        <v>0</v>
      </c>
    </row>
    <row r="30" spans="1:22" s="96" customFormat="1" ht="13.5" hidden="1" customHeight="1">
      <c r="A30" s="189" t="s">
        <v>259</v>
      </c>
      <c r="B30" s="858"/>
      <c r="C30" s="181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6"/>
      <c r="S30" s="853"/>
      <c r="T30" s="853"/>
      <c r="U30" s="855"/>
    </row>
    <row r="31" spans="1:22" s="96" customFormat="1" ht="13.5" hidden="1" customHeight="1">
      <c r="A31" s="190" t="s">
        <v>306</v>
      </c>
      <c r="B31" s="858" t="s">
        <v>305</v>
      </c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6"/>
      <c r="S31" s="852">
        <f>SUM(C31:R32)</f>
        <v>0</v>
      </c>
      <c r="T31" s="852">
        <v>76000</v>
      </c>
      <c r="U31" s="854">
        <f>S31*T31</f>
        <v>0</v>
      </c>
    </row>
    <row r="32" spans="1:22" s="96" customFormat="1" ht="13.5" hidden="1" customHeight="1">
      <c r="A32" s="191"/>
      <c r="B32" s="858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6"/>
      <c r="S32" s="853"/>
      <c r="T32" s="853"/>
      <c r="U32" s="855"/>
    </row>
    <row r="33" spans="1:21" s="96" customFormat="1" ht="13.5" hidden="1" customHeight="1">
      <c r="A33" s="190"/>
      <c r="B33" s="858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6"/>
      <c r="S33" s="858">
        <f>SUM(C33:R34)</f>
        <v>0</v>
      </c>
      <c r="T33" s="852">
        <v>65300</v>
      </c>
      <c r="U33" s="854">
        <f>S33*T33</f>
        <v>0</v>
      </c>
    </row>
    <row r="34" spans="1:21" s="96" customFormat="1" ht="13.5" hidden="1" customHeight="1">
      <c r="A34" s="191"/>
      <c r="B34" s="858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6"/>
      <c r="S34" s="858"/>
      <c r="T34" s="853"/>
      <c r="U34" s="855"/>
    </row>
    <row r="35" spans="1:21" s="96" customFormat="1" ht="13.5" hidden="1" customHeight="1">
      <c r="A35" s="183"/>
      <c r="B35" s="858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6"/>
      <c r="S35" s="852">
        <f>SUM(C35:R36)</f>
        <v>0</v>
      </c>
      <c r="T35" s="852">
        <v>78200</v>
      </c>
      <c r="U35" s="854">
        <f>S35*T35</f>
        <v>0</v>
      </c>
    </row>
    <row r="36" spans="1:21" s="96" customFormat="1" ht="13.5" hidden="1" customHeight="1">
      <c r="A36" s="189"/>
      <c r="B36" s="858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6"/>
      <c r="S36" s="853"/>
      <c r="T36" s="853"/>
      <c r="U36" s="855"/>
    </row>
    <row r="37" spans="1:21" s="96" customFormat="1" ht="13.5" hidden="1" customHeight="1">
      <c r="A37" s="190" t="s">
        <v>195</v>
      </c>
      <c r="B37" s="858" t="s">
        <v>231</v>
      </c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6"/>
      <c r="S37" s="852">
        <f>SUM(C37:R38)</f>
        <v>0</v>
      </c>
      <c r="T37" s="852">
        <v>57900</v>
      </c>
      <c r="U37" s="854">
        <f>S37*T37</f>
        <v>0</v>
      </c>
    </row>
    <row r="38" spans="1:21" s="96" customFormat="1" ht="13.5" hidden="1" customHeight="1">
      <c r="A38" s="191" t="s">
        <v>260</v>
      </c>
      <c r="B38" s="863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6"/>
      <c r="S38" s="853"/>
      <c r="T38" s="853"/>
      <c r="U38" s="855"/>
    </row>
    <row r="39" spans="1:21" s="96" customFormat="1" ht="13.5" hidden="1" customHeight="1">
      <c r="A39" s="190" t="s">
        <v>195</v>
      </c>
      <c r="B39" s="863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6"/>
      <c r="S39" s="852">
        <f>SUM(C39:R40)</f>
        <v>0</v>
      </c>
      <c r="T39" s="852">
        <v>62600</v>
      </c>
      <c r="U39" s="854">
        <f>S39*T39</f>
        <v>0</v>
      </c>
    </row>
    <row r="40" spans="1:21" s="96" customFormat="1" ht="13.5" hidden="1" customHeight="1">
      <c r="A40" s="191" t="s">
        <v>262</v>
      </c>
      <c r="B40" s="863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6"/>
      <c r="S40" s="853"/>
      <c r="T40" s="853"/>
      <c r="U40" s="855"/>
    </row>
    <row r="41" spans="1:21" s="96" customFormat="1" ht="13.5" hidden="1" customHeight="1">
      <c r="A41" s="190" t="s">
        <v>195</v>
      </c>
      <c r="B41" s="863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6"/>
      <c r="S41" s="858">
        <f>SUM(C41:R42)</f>
        <v>0</v>
      </c>
      <c r="T41" s="852">
        <v>65300</v>
      </c>
      <c r="U41" s="854">
        <f>S41*T41</f>
        <v>0</v>
      </c>
    </row>
    <row r="42" spans="1:21" s="96" customFormat="1" ht="13.5" hidden="1" customHeight="1">
      <c r="A42" s="191" t="s">
        <v>263</v>
      </c>
      <c r="B42" s="858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8"/>
      <c r="N42" s="180"/>
      <c r="O42" s="180"/>
      <c r="P42" s="180"/>
      <c r="Q42" s="180"/>
      <c r="R42" s="186"/>
      <c r="S42" s="858"/>
      <c r="T42" s="853"/>
      <c r="U42" s="855"/>
    </row>
    <row r="43" spans="1:21" s="96" customFormat="1" ht="13.5" hidden="1" customHeight="1">
      <c r="A43" s="190" t="s">
        <v>195</v>
      </c>
      <c r="B43" s="858" t="s">
        <v>257</v>
      </c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6"/>
      <c r="S43" s="852">
        <f>SUM(C43:R44)</f>
        <v>0</v>
      </c>
      <c r="T43" s="852">
        <v>62600</v>
      </c>
      <c r="U43" s="854">
        <f>S43*T43</f>
        <v>0</v>
      </c>
    </row>
    <row r="44" spans="1:21" s="96" customFormat="1" ht="13.5" hidden="1" customHeight="1">
      <c r="A44" s="191" t="s">
        <v>262</v>
      </c>
      <c r="B44" s="865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6"/>
      <c r="S44" s="853"/>
      <c r="T44" s="853"/>
      <c r="U44" s="855"/>
    </row>
    <row r="45" spans="1:21" s="96" customFormat="1" ht="13.5" hidden="1" customHeight="1">
      <c r="A45" s="868" t="s">
        <v>122</v>
      </c>
      <c r="B45" s="868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858">
        <f>SUM(S9:S42)</f>
        <v>636</v>
      </c>
      <c r="T45" s="859"/>
      <c r="U45" s="854">
        <f>SUM(U7:U44)</f>
        <v>44021400</v>
      </c>
    </row>
    <row r="46" spans="1:21" s="96" customFormat="1" ht="13.5" hidden="1" customHeight="1">
      <c r="A46" s="865"/>
      <c r="B46" s="865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858"/>
      <c r="T46" s="860"/>
      <c r="U46" s="855"/>
    </row>
    <row r="47" spans="1:21" s="96" customFormat="1" ht="13.5" hidden="1" customHeight="1">
      <c r="A47" s="190" t="s">
        <v>195</v>
      </c>
      <c r="B47" s="868" t="s">
        <v>201</v>
      </c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852">
        <f>SUM(C47:R48)</f>
        <v>0</v>
      </c>
      <c r="T47" s="852" t="e">
        <f>#REF!</f>
        <v>#REF!</v>
      </c>
      <c r="U47" s="854" t="e">
        <f>S47*T47</f>
        <v>#REF!</v>
      </c>
    </row>
    <row r="48" spans="1:21" s="96" customFormat="1" ht="13.5" hidden="1" customHeight="1">
      <c r="A48" s="191" t="s">
        <v>196</v>
      </c>
      <c r="B48" s="863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853"/>
      <c r="T48" s="853"/>
      <c r="U48" s="855"/>
    </row>
    <row r="49" spans="1:21" s="96" customFormat="1" ht="13.5" hidden="1" customHeight="1">
      <c r="A49" s="190" t="s">
        <v>195</v>
      </c>
      <c r="B49" s="863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852">
        <f>SUM(C49:R50)</f>
        <v>0</v>
      </c>
      <c r="T49" s="852" t="e">
        <f>#REF!</f>
        <v>#REF!</v>
      </c>
      <c r="U49" s="854" t="e">
        <f>S49*T49</f>
        <v>#REF!</v>
      </c>
    </row>
    <row r="50" spans="1:21" s="96" customFormat="1" ht="13.5" hidden="1" customHeight="1">
      <c r="A50" s="191" t="s">
        <v>219</v>
      </c>
      <c r="B50" s="863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853"/>
      <c r="T50" s="853"/>
      <c r="U50" s="855"/>
    </row>
    <row r="51" spans="1:21" s="96" customFormat="1" ht="13.5" hidden="1" customHeight="1">
      <c r="A51" s="190" t="s">
        <v>195</v>
      </c>
      <c r="B51" s="863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852">
        <f>SUM(C51:R52)</f>
        <v>0</v>
      </c>
      <c r="T51" s="852">
        <v>52000</v>
      </c>
      <c r="U51" s="854">
        <f>S51*T51</f>
        <v>0</v>
      </c>
    </row>
    <row r="52" spans="1:21" s="96" customFormat="1" ht="13.5" hidden="1" customHeight="1">
      <c r="A52" s="191" t="s">
        <v>188</v>
      </c>
      <c r="B52" s="863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853"/>
      <c r="T52" s="853"/>
      <c r="U52" s="855"/>
    </row>
    <row r="53" spans="1:21" s="96" customFormat="1" ht="13.5" hidden="1" customHeight="1">
      <c r="A53" s="190" t="s">
        <v>195</v>
      </c>
      <c r="B53" s="863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852">
        <f>SUM(C53:R54)</f>
        <v>0</v>
      </c>
      <c r="T53" s="852">
        <v>58700</v>
      </c>
      <c r="U53" s="854">
        <f>S53*T53</f>
        <v>0</v>
      </c>
    </row>
    <row r="54" spans="1:21" s="96" customFormat="1" ht="13.5" hidden="1" customHeight="1">
      <c r="A54" s="191" t="s">
        <v>189</v>
      </c>
      <c r="B54" s="863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853"/>
      <c r="T54" s="853"/>
      <c r="U54" s="855"/>
    </row>
    <row r="55" spans="1:21" s="96" customFormat="1" ht="13.5" hidden="1" customHeight="1">
      <c r="A55" s="190" t="s">
        <v>195</v>
      </c>
      <c r="B55" s="863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852">
        <f>SUM(C55:R56)</f>
        <v>0</v>
      </c>
      <c r="T55" s="852">
        <v>50700</v>
      </c>
      <c r="U55" s="854">
        <f>S55*T55</f>
        <v>0</v>
      </c>
    </row>
    <row r="56" spans="1:21" s="96" customFormat="1" ht="13.5" hidden="1" customHeight="1">
      <c r="A56" s="191" t="s">
        <v>190</v>
      </c>
      <c r="B56" s="863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853"/>
      <c r="T56" s="853"/>
      <c r="U56" s="855"/>
    </row>
    <row r="57" spans="1:21" s="96" customFormat="1" ht="13.5" hidden="1" customHeight="1">
      <c r="A57" s="190" t="s">
        <v>195</v>
      </c>
      <c r="B57" s="863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852">
        <f>SUM(C57:R58)</f>
        <v>0</v>
      </c>
      <c r="T57" s="852">
        <v>52500</v>
      </c>
      <c r="U57" s="854">
        <f>S57*T57</f>
        <v>0</v>
      </c>
    </row>
    <row r="58" spans="1:21" s="96" customFormat="1" ht="13.5" hidden="1" customHeight="1">
      <c r="A58" s="191" t="s">
        <v>191</v>
      </c>
      <c r="B58" s="863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853"/>
      <c r="T58" s="853"/>
      <c r="U58" s="855"/>
    </row>
    <row r="59" spans="1:21" s="96" customFormat="1" ht="13.5" hidden="1" customHeight="1">
      <c r="A59" s="190" t="s">
        <v>195</v>
      </c>
      <c r="B59" s="863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852">
        <f>SUM(C59:R60)</f>
        <v>0</v>
      </c>
      <c r="T59" s="852">
        <v>50700</v>
      </c>
      <c r="U59" s="854">
        <f>S59*T59</f>
        <v>0</v>
      </c>
    </row>
    <row r="60" spans="1:21" s="96" customFormat="1" ht="13.5" hidden="1" customHeight="1">
      <c r="A60" s="191" t="s">
        <v>192</v>
      </c>
      <c r="B60" s="863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853"/>
      <c r="T60" s="853"/>
      <c r="U60" s="855"/>
    </row>
    <row r="61" spans="1:21" s="96" customFormat="1" ht="13.5" hidden="1" customHeight="1">
      <c r="A61" s="190" t="s">
        <v>195</v>
      </c>
      <c r="B61" s="863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852">
        <f>SUM(C61:R62)</f>
        <v>0</v>
      </c>
      <c r="T61" s="852">
        <v>52400</v>
      </c>
      <c r="U61" s="854">
        <f>S61*T61</f>
        <v>0</v>
      </c>
    </row>
    <row r="62" spans="1:21" s="96" customFormat="1" ht="13.5" hidden="1" customHeight="1">
      <c r="A62" s="191" t="s">
        <v>193</v>
      </c>
      <c r="B62" s="865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853"/>
      <c r="T62" s="853"/>
      <c r="U62" s="855"/>
    </row>
    <row r="63" spans="1:21" s="89" customFormat="1" ht="13.5" hidden="1" customHeight="1">
      <c r="A63" s="868" t="s">
        <v>122</v>
      </c>
      <c r="B63" s="868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852">
        <f>SUM(C63:R64)</f>
        <v>0</v>
      </c>
      <c r="T63" s="859"/>
      <c r="U63" s="854" t="e">
        <f>SUM(U47:U61)</f>
        <v>#REF!</v>
      </c>
    </row>
    <row r="64" spans="1:21" s="89" customFormat="1" ht="13.5" hidden="1" customHeight="1">
      <c r="A64" s="865"/>
      <c r="B64" s="865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853"/>
      <c r="T64" s="860"/>
      <c r="U64" s="855"/>
    </row>
    <row r="65" spans="1:21" ht="15" customHeight="1">
      <c r="A65" s="868" t="s">
        <v>147</v>
      </c>
      <c r="B65" s="192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852">
        <f>SUM(C65:R66)</f>
        <v>0</v>
      </c>
      <c r="T65" s="859"/>
      <c r="U65" s="854">
        <f>SUM(U7:U18)</f>
        <v>44021400</v>
      </c>
    </row>
    <row r="66" spans="1:21" ht="15" customHeight="1">
      <c r="A66" s="858"/>
      <c r="B66" s="193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867"/>
      <c r="T66" s="860"/>
      <c r="U66" s="855"/>
    </row>
    <row r="67" spans="1:21" ht="15" customHeight="1">
      <c r="A67" s="194" t="s">
        <v>204</v>
      </c>
      <c r="B67" s="858" t="s">
        <v>320</v>
      </c>
      <c r="C67" s="196"/>
      <c r="D67" s="196"/>
      <c r="E67" s="196"/>
      <c r="F67" s="196"/>
      <c r="G67" s="196"/>
      <c r="H67" s="196"/>
      <c r="I67" s="196"/>
      <c r="J67" s="195"/>
      <c r="K67" s="196"/>
      <c r="L67" s="196"/>
      <c r="M67" s="196"/>
      <c r="N67" s="196"/>
      <c r="O67" s="196"/>
      <c r="P67" s="196"/>
      <c r="Q67" s="196"/>
      <c r="R67" s="196"/>
      <c r="S67" s="866">
        <f>SUM(C67:R68)</f>
        <v>26.347999999999999</v>
      </c>
      <c r="T67" s="861">
        <v>570000</v>
      </c>
      <c r="U67" s="854">
        <f>S67*T67</f>
        <v>15018360</v>
      </c>
    </row>
    <row r="68" spans="1:21" ht="15" customHeight="1">
      <c r="A68" s="184" t="s">
        <v>154</v>
      </c>
      <c r="B68" s="858"/>
      <c r="C68" s="197"/>
      <c r="D68" s="197"/>
      <c r="E68" s="197"/>
      <c r="F68" s="197"/>
      <c r="G68" s="197"/>
      <c r="H68" s="197">
        <v>26.347999999999999</v>
      </c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866"/>
      <c r="T68" s="862"/>
      <c r="U68" s="855"/>
    </row>
    <row r="69" spans="1:21" ht="15" customHeight="1">
      <c r="A69" s="194" t="str">
        <f>A67</f>
        <v>철근(TON)</v>
      </c>
      <c r="B69" s="858"/>
      <c r="C69" s="196"/>
      <c r="D69" s="196"/>
      <c r="E69" s="196"/>
      <c r="F69" s="196"/>
      <c r="G69" s="196"/>
      <c r="H69" s="196"/>
      <c r="I69" s="196"/>
      <c r="J69" s="195"/>
      <c r="K69" s="196"/>
      <c r="L69" s="196"/>
      <c r="M69" s="196"/>
      <c r="N69" s="196"/>
      <c r="O69" s="196"/>
      <c r="P69" s="196"/>
      <c r="Q69" s="196"/>
      <c r="R69" s="196"/>
      <c r="S69" s="857">
        <f>SUM(C69:R70)</f>
        <v>26.74</v>
      </c>
      <c r="T69" s="861">
        <v>565000</v>
      </c>
      <c r="U69" s="854">
        <f>S69*T69</f>
        <v>15108100</v>
      </c>
    </row>
    <row r="70" spans="1:21" ht="15" customHeight="1">
      <c r="A70" s="184" t="s">
        <v>208</v>
      </c>
      <c r="B70" s="858"/>
      <c r="C70" s="197"/>
      <c r="D70" s="197"/>
      <c r="E70" s="197"/>
      <c r="F70" s="197"/>
      <c r="G70" s="197"/>
      <c r="H70" s="197">
        <v>26.74</v>
      </c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857"/>
      <c r="T70" s="862"/>
      <c r="U70" s="855"/>
    </row>
    <row r="71" spans="1:21" ht="15" customHeight="1">
      <c r="A71" s="194" t="str">
        <f>A69</f>
        <v>철근(TON)</v>
      </c>
      <c r="B71" s="858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856">
        <f>SUM(C71:R72)</f>
        <v>11.231999999999999</v>
      </c>
      <c r="T71" s="861">
        <v>560000</v>
      </c>
      <c r="U71" s="854">
        <f>S71*T71</f>
        <v>6289920</v>
      </c>
    </row>
    <row r="72" spans="1:21" ht="15" customHeight="1">
      <c r="A72" s="184" t="s">
        <v>209</v>
      </c>
      <c r="B72" s="858"/>
      <c r="C72" s="196"/>
      <c r="D72" s="196"/>
      <c r="E72" s="196"/>
      <c r="F72" s="196"/>
      <c r="G72" s="196"/>
      <c r="H72" s="196">
        <v>11.231999999999999</v>
      </c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856"/>
      <c r="T72" s="862"/>
      <c r="U72" s="855"/>
    </row>
    <row r="73" spans="1:21" ht="15" customHeight="1">
      <c r="A73" s="194" t="str">
        <f>A71</f>
        <v>철근(TON)</v>
      </c>
      <c r="B73" s="858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856">
        <f>SUM(C73:R74)</f>
        <v>42.335999999999999</v>
      </c>
      <c r="T73" s="861">
        <v>560000</v>
      </c>
      <c r="U73" s="854">
        <f>S73*T73</f>
        <v>23708160</v>
      </c>
    </row>
    <row r="74" spans="1:21" ht="15" customHeight="1">
      <c r="A74" s="184" t="s">
        <v>210</v>
      </c>
      <c r="B74" s="858"/>
      <c r="C74" s="196"/>
      <c r="D74" s="196"/>
      <c r="E74" s="196"/>
      <c r="F74" s="196"/>
      <c r="G74" s="196"/>
      <c r="H74" s="196">
        <v>42.335999999999999</v>
      </c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856"/>
      <c r="T74" s="862"/>
      <c r="U74" s="855"/>
    </row>
    <row r="75" spans="1:21" ht="15" hidden="1" customHeight="1">
      <c r="A75" s="194" t="str">
        <f>A73</f>
        <v>철근(TON)</v>
      </c>
      <c r="B75" s="213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856">
        <f>SUM(C75:R76)</f>
        <v>0</v>
      </c>
      <c r="T75" s="861"/>
      <c r="U75" s="854">
        <f>S75*T75</f>
        <v>0</v>
      </c>
    </row>
    <row r="76" spans="1:21" ht="15" hidden="1" customHeight="1">
      <c r="A76" s="184" t="s">
        <v>211</v>
      </c>
      <c r="B76" s="213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856"/>
      <c r="T76" s="862"/>
      <c r="U76" s="855"/>
    </row>
    <row r="77" spans="1:21" ht="15" customHeight="1">
      <c r="A77" s="194" t="str">
        <f>A73</f>
        <v>철근(TON)</v>
      </c>
      <c r="B77" s="858" t="s">
        <v>324</v>
      </c>
      <c r="C77" s="196"/>
      <c r="D77" s="196"/>
      <c r="E77" s="196"/>
      <c r="F77" s="196">
        <v>38</v>
      </c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856">
        <f>SUM(C77:R78)</f>
        <v>38</v>
      </c>
      <c r="T77" s="861">
        <v>560000</v>
      </c>
      <c r="U77" s="854">
        <f>S77*T77</f>
        <v>21280000</v>
      </c>
    </row>
    <row r="78" spans="1:21" ht="15" customHeight="1">
      <c r="A78" s="184" t="s">
        <v>212</v>
      </c>
      <c r="B78" s="858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856"/>
      <c r="T78" s="862"/>
      <c r="U78" s="855"/>
    </row>
    <row r="79" spans="1:21" ht="15" customHeight="1">
      <c r="A79" s="194" t="str">
        <f>A75</f>
        <v>철근(TON)</v>
      </c>
      <c r="B79" s="858" t="s">
        <v>321</v>
      </c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856">
        <f>SUM(C79:R80)</f>
        <v>26.077999999999999</v>
      </c>
      <c r="T79" s="861">
        <v>630000</v>
      </c>
      <c r="U79" s="854">
        <f>S79*T79</f>
        <v>16429140</v>
      </c>
    </row>
    <row r="80" spans="1:21" ht="15" customHeight="1">
      <c r="A80" s="184" t="s">
        <v>212</v>
      </c>
      <c r="B80" s="858"/>
      <c r="C80" s="196"/>
      <c r="D80" s="196"/>
      <c r="E80" s="196"/>
      <c r="F80" s="196"/>
      <c r="G80" s="196"/>
      <c r="H80" s="196">
        <v>26.077999999999999</v>
      </c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856"/>
      <c r="T80" s="862"/>
      <c r="U80" s="855"/>
    </row>
    <row r="81" spans="1:21" ht="15" hidden="1" customHeight="1">
      <c r="A81" s="194" t="s">
        <v>204</v>
      </c>
      <c r="B81" s="858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856">
        <f>SUM(C81:R82)</f>
        <v>0</v>
      </c>
      <c r="T81" s="861">
        <v>820000</v>
      </c>
      <c r="U81" s="854">
        <f>S81*T81</f>
        <v>0</v>
      </c>
    </row>
    <row r="82" spans="1:21" ht="15" hidden="1" customHeight="1">
      <c r="A82" s="184" t="s">
        <v>154</v>
      </c>
      <c r="B82" s="858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856"/>
      <c r="T82" s="862"/>
      <c r="U82" s="855"/>
    </row>
    <row r="83" spans="1:21" ht="15" hidden="1" customHeight="1">
      <c r="A83" s="194" t="str">
        <f>A81</f>
        <v>철근(TON)</v>
      </c>
      <c r="B83" s="858"/>
      <c r="C83" s="196"/>
      <c r="D83" s="196"/>
      <c r="E83" s="196"/>
      <c r="F83" s="196"/>
      <c r="G83" s="196"/>
      <c r="H83" s="196"/>
      <c r="I83" s="196"/>
      <c r="J83" s="195"/>
      <c r="K83" s="196"/>
      <c r="L83" s="196"/>
      <c r="M83" s="196"/>
      <c r="N83" s="196"/>
      <c r="O83" s="196"/>
      <c r="P83" s="196"/>
      <c r="Q83" s="196"/>
      <c r="R83" s="196"/>
      <c r="S83" s="857">
        <f>SUM(C83:R84)</f>
        <v>0</v>
      </c>
      <c r="T83" s="861">
        <v>690000</v>
      </c>
      <c r="U83" s="854">
        <f>S83*T83</f>
        <v>0</v>
      </c>
    </row>
    <row r="84" spans="1:21" ht="15" hidden="1" customHeight="1">
      <c r="A84" s="184" t="s">
        <v>208</v>
      </c>
      <c r="B84" s="858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857"/>
      <c r="T84" s="862"/>
      <c r="U84" s="855"/>
    </row>
    <row r="85" spans="1:21" ht="15" hidden="1" customHeight="1">
      <c r="A85" s="194" t="s">
        <v>204</v>
      </c>
      <c r="B85" s="858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866">
        <f>SUM(C85:R86)</f>
        <v>0</v>
      </c>
      <c r="T85" s="861">
        <v>705000</v>
      </c>
      <c r="U85" s="854">
        <f>S85*T85</f>
        <v>0</v>
      </c>
    </row>
    <row r="86" spans="1:21" ht="15" hidden="1" customHeight="1">
      <c r="A86" s="184" t="s">
        <v>209</v>
      </c>
      <c r="B86" s="858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866"/>
      <c r="T86" s="862"/>
      <c r="U86" s="855"/>
    </row>
    <row r="87" spans="1:21" ht="15" hidden="1" customHeight="1">
      <c r="A87" s="194" t="str">
        <f>A85</f>
        <v>철근(TON)</v>
      </c>
      <c r="B87" s="858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856">
        <f>SUM(C87:R88)</f>
        <v>0</v>
      </c>
      <c r="T87" s="861">
        <v>705000</v>
      </c>
      <c r="U87" s="854">
        <f>S87*T87</f>
        <v>0</v>
      </c>
    </row>
    <row r="88" spans="1:21" ht="15" hidden="1" customHeight="1">
      <c r="A88" s="184" t="s">
        <v>211</v>
      </c>
      <c r="B88" s="858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856"/>
      <c r="T88" s="862"/>
      <c r="U88" s="855"/>
    </row>
    <row r="89" spans="1:21" ht="15" hidden="1" customHeight="1">
      <c r="A89" s="194" t="s">
        <v>204</v>
      </c>
      <c r="B89" s="858"/>
      <c r="C89" s="196"/>
      <c r="D89" s="196"/>
      <c r="E89" s="196"/>
      <c r="F89" s="196"/>
      <c r="G89" s="196"/>
      <c r="H89" s="196"/>
      <c r="I89" s="196"/>
      <c r="J89" s="195"/>
      <c r="K89" s="196"/>
      <c r="L89" s="196"/>
      <c r="M89" s="196"/>
      <c r="N89" s="196"/>
      <c r="O89" s="196"/>
      <c r="P89" s="196"/>
      <c r="Q89" s="196"/>
      <c r="R89" s="196"/>
      <c r="S89" s="866">
        <f>SUM(C89:R90)</f>
        <v>0</v>
      </c>
      <c r="T89" s="861">
        <v>705000</v>
      </c>
      <c r="U89" s="854">
        <f>S89*T89</f>
        <v>0</v>
      </c>
    </row>
    <row r="90" spans="1:21" ht="15" hidden="1" customHeight="1">
      <c r="A90" s="184" t="s">
        <v>264</v>
      </c>
      <c r="B90" s="858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866"/>
      <c r="T90" s="862"/>
      <c r="U90" s="855"/>
    </row>
    <row r="91" spans="1:21" ht="15" customHeight="1">
      <c r="A91" s="194" t="str">
        <f>A89</f>
        <v>철근(TON)</v>
      </c>
      <c r="B91" s="858"/>
      <c r="C91" s="196"/>
      <c r="D91" s="196"/>
      <c r="E91" s="196"/>
      <c r="F91" s="196"/>
      <c r="G91" s="196"/>
      <c r="H91" s="196"/>
      <c r="I91" s="196"/>
      <c r="J91" s="195"/>
      <c r="K91" s="196"/>
      <c r="L91" s="196"/>
      <c r="M91" s="196"/>
      <c r="N91" s="196"/>
      <c r="O91" s="196"/>
      <c r="P91" s="196"/>
      <c r="Q91" s="196"/>
      <c r="R91" s="196"/>
      <c r="S91" s="857">
        <f>SUM(C91:R92)</f>
        <v>104.624</v>
      </c>
      <c r="T91" s="861">
        <v>660000</v>
      </c>
      <c r="U91" s="854">
        <f>S91*T91</f>
        <v>69051840</v>
      </c>
    </row>
    <row r="92" spans="1:21" ht="15" customHeight="1">
      <c r="A92" s="184" t="s">
        <v>265</v>
      </c>
      <c r="B92" s="858"/>
      <c r="C92" s="197"/>
      <c r="D92" s="197"/>
      <c r="E92" s="197"/>
      <c r="F92" s="197"/>
      <c r="G92" s="197"/>
      <c r="H92" s="197">
        <v>78.134</v>
      </c>
      <c r="I92" s="197"/>
      <c r="J92" s="197"/>
      <c r="K92" s="197"/>
      <c r="L92" s="197"/>
      <c r="M92" s="197">
        <v>26.49</v>
      </c>
      <c r="N92" s="197"/>
      <c r="O92" s="197"/>
      <c r="P92" s="197"/>
      <c r="Q92" s="197"/>
      <c r="R92" s="197"/>
      <c r="S92" s="857"/>
      <c r="T92" s="862"/>
      <c r="U92" s="855"/>
    </row>
    <row r="93" spans="1:21" ht="15" hidden="1" customHeight="1">
      <c r="A93" s="194" t="str">
        <f>A91</f>
        <v>철근(TON)</v>
      </c>
      <c r="B93" s="213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856">
        <f>SUM(C93:R94)</f>
        <v>0</v>
      </c>
      <c r="T93" s="861"/>
      <c r="U93" s="854">
        <f>S93*T93</f>
        <v>0</v>
      </c>
    </row>
    <row r="94" spans="1:21" ht="15" hidden="1" customHeight="1">
      <c r="A94" s="184" t="s">
        <v>209</v>
      </c>
      <c r="B94" s="213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856"/>
      <c r="T94" s="862"/>
      <c r="U94" s="855"/>
    </row>
    <row r="95" spans="1:21" ht="15" hidden="1" customHeight="1">
      <c r="A95" s="194" t="str">
        <f>A93</f>
        <v>철근(TON)</v>
      </c>
      <c r="B95" s="213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856">
        <f>SUM(C95:R96)</f>
        <v>0</v>
      </c>
      <c r="T95" s="861"/>
      <c r="U95" s="854">
        <f>S95*T95</f>
        <v>0</v>
      </c>
    </row>
    <row r="96" spans="1:21" ht="15" hidden="1" customHeight="1">
      <c r="A96" s="184" t="s">
        <v>210</v>
      </c>
      <c r="B96" s="213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856"/>
      <c r="T96" s="862"/>
      <c r="U96" s="855"/>
    </row>
    <row r="97" spans="1:21" ht="15" hidden="1" customHeight="1">
      <c r="A97" s="194" t="str">
        <f>A95</f>
        <v>철근(TON)</v>
      </c>
      <c r="B97" s="213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856">
        <f>SUM(C97:R98)</f>
        <v>0</v>
      </c>
      <c r="T97" s="861"/>
      <c r="U97" s="854">
        <f>S97*T97</f>
        <v>0</v>
      </c>
    </row>
    <row r="98" spans="1:21" ht="15" hidden="1" customHeight="1">
      <c r="A98" s="184" t="s">
        <v>211</v>
      </c>
      <c r="B98" s="213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856"/>
      <c r="T98" s="862"/>
      <c r="U98" s="855"/>
    </row>
    <row r="99" spans="1:21" ht="15" hidden="1" customHeight="1">
      <c r="A99" s="194" t="str">
        <f>A97</f>
        <v>철근(TON)</v>
      </c>
      <c r="B99" s="213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856">
        <f>SUM(C99:R100)</f>
        <v>0</v>
      </c>
      <c r="T99" s="861"/>
      <c r="U99" s="854">
        <f>S99*T99</f>
        <v>0</v>
      </c>
    </row>
    <row r="100" spans="1:21" ht="15" hidden="1" customHeight="1">
      <c r="A100" s="184" t="s">
        <v>212</v>
      </c>
      <c r="B100" s="213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856"/>
      <c r="T100" s="862"/>
      <c r="U100" s="855"/>
    </row>
    <row r="101" spans="1:21" ht="15" hidden="1" customHeight="1">
      <c r="A101" s="194" t="s">
        <v>204</v>
      </c>
      <c r="B101" s="213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856">
        <f>SUM(C101:R102)</f>
        <v>0</v>
      </c>
      <c r="T101" s="861">
        <v>820000</v>
      </c>
      <c r="U101" s="854">
        <f>S101*T101</f>
        <v>0</v>
      </c>
    </row>
    <row r="102" spans="1:21" ht="15" hidden="1" customHeight="1">
      <c r="A102" s="184" t="s">
        <v>154</v>
      </c>
      <c r="B102" s="213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856"/>
      <c r="T102" s="862"/>
      <c r="U102" s="855"/>
    </row>
    <row r="103" spans="1:21" ht="15" hidden="1" customHeight="1">
      <c r="A103" s="194" t="s">
        <v>204</v>
      </c>
      <c r="B103" s="213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866">
        <f>SUM(C103:R104)</f>
        <v>0</v>
      </c>
      <c r="T103" s="861">
        <v>735000</v>
      </c>
      <c r="U103" s="854">
        <f>S103*T103</f>
        <v>0</v>
      </c>
    </row>
    <row r="104" spans="1:21" ht="15" hidden="1" customHeight="1">
      <c r="A104" s="184" t="s">
        <v>266</v>
      </c>
      <c r="B104" s="214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866"/>
      <c r="T104" s="862"/>
      <c r="U104" s="855"/>
    </row>
    <row r="105" spans="1:21" ht="15" hidden="1" customHeight="1">
      <c r="A105" s="194" t="str">
        <f>A81</f>
        <v>철근(TON)</v>
      </c>
      <c r="B105" s="858" t="s">
        <v>256</v>
      </c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864">
        <f>SUM(C105:R106)</f>
        <v>0</v>
      </c>
      <c r="T105" s="861">
        <v>710000</v>
      </c>
      <c r="U105" s="854">
        <f>S105*T105</f>
        <v>0</v>
      </c>
    </row>
    <row r="106" spans="1:21" ht="15" hidden="1" customHeight="1">
      <c r="A106" s="184" t="s">
        <v>208</v>
      </c>
      <c r="B106" s="858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864"/>
      <c r="T106" s="862"/>
      <c r="U106" s="855"/>
    </row>
    <row r="107" spans="1:21" ht="15" hidden="1" customHeight="1">
      <c r="A107" s="194" t="str">
        <f>A105</f>
        <v>철근(TON)</v>
      </c>
      <c r="B107" s="858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864">
        <f>SUM(C107:R108)</f>
        <v>0</v>
      </c>
      <c r="T107" s="861"/>
      <c r="U107" s="854">
        <f>S107*T107</f>
        <v>0</v>
      </c>
    </row>
    <row r="108" spans="1:21" ht="15" hidden="1" customHeight="1">
      <c r="A108" s="184" t="s">
        <v>209</v>
      </c>
      <c r="B108" s="858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864"/>
      <c r="T108" s="862"/>
      <c r="U108" s="855"/>
    </row>
    <row r="109" spans="1:21" ht="15" hidden="1" customHeight="1">
      <c r="A109" s="194" t="str">
        <f>A107</f>
        <v>철근(TON)</v>
      </c>
      <c r="B109" s="858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864">
        <f>SUM(C109:R110)</f>
        <v>0</v>
      </c>
      <c r="T109" s="861">
        <v>705000</v>
      </c>
      <c r="U109" s="854">
        <f>S109*T109</f>
        <v>0</v>
      </c>
    </row>
    <row r="110" spans="1:21" ht="15" hidden="1" customHeight="1">
      <c r="A110" s="184" t="s">
        <v>210</v>
      </c>
      <c r="B110" s="858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864"/>
      <c r="T110" s="862"/>
      <c r="U110" s="855"/>
    </row>
    <row r="111" spans="1:21" ht="15" hidden="1" customHeight="1">
      <c r="A111" s="198" t="str">
        <f>A79</f>
        <v>철근(TON)</v>
      </c>
      <c r="B111" s="198"/>
      <c r="C111" s="199"/>
      <c r="D111" s="199"/>
      <c r="E111" s="199"/>
      <c r="F111" s="199"/>
      <c r="G111" s="199"/>
      <c r="H111" s="199"/>
      <c r="I111" s="199"/>
      <c r="J111" s="215"/>
      <c r="K111" s="199"/>
      <c r="L111" s="199"/>
      <c r="M111" s="199"/>
      <c r="N111" s="199"/>
      <c r="O111" s="199"/>
      <c r="P111" s="199"/>
      <c r="Q111" s="199"/>
      <c r="R111" s="200"/>
      <c r="S111" s="867">
        <f>SUM(C111:R112)</f>
        <v>0</v>
      </c>
      <c r="T111" s="852"/>
      <c r="U111" s="854">
        <f>S111*T111</f>
        <v>0</v>
      </c>
    </row>
    <row r="112" spans="1:21" ht="15" hidden="1" customHeight="1">
      <c r="A112" s="191" t="s">
        <v>213</v>
      </c>
      <c r="B112" s="198"/>
      <c r="C112" s="180"/>
      <c r="D112" s="180"/>
      <c r="E112" s="180"/>
      <c r="F112" s="180"/>
      <c r="G112" s="180"/>
      <c r="H112" s="180"/>
      <c r="I112" s="180"/>
      <c r="J112" s="216"/>
      <c r="K112" s="180"/>
      <c r="L112" s="180"/>
      <c r="M112" s="180"/>
      <c r="N112" s="180"/>
      <c r="O112" s="180"/>
      <c r="P112" s="180"/>
      <c r="Q112" s="180"/>
      <c r="R112" s="201"/>
      <c r="S112" s="853"/>
      <c r="T112" s="853"/>
      <c r="U112" s="855"/>
    </row>
    <row r="113" spans="1:22" ht="15" hidden="1" customHeight="1">
      <c r="A113" s="198" t="str">
        <f>A111</f>
        <v>철근(TON)</v>
      </c>
      <c r="B113" s="198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202"/>
      <c r="S113" s="852">
        <f>SUM(C113:R114)</f>
        <v>0</v>
      </c>
      <c r="T113" s="852"/>
      <c r="U113" s="854">
        <f>S113*T113</f>
        <v>0</v>
      </c>
    </row>
    <row r="114" spans="1:22" ht="15" hidden="1" customHeight="1">
      <c r="A114" s="191" t="s">
        <v>205</v>
      </c>
      <c r="B114" s="198"/>
      <c r="C114" s="180"/>
      <c r="D114" s="180"/>
      <c r="E114" s="180"/>
      <c r="F114" s="180"/>
      <c r="G114" s="180"/>
      <c r="H114" s="180"/>
      <c r="I114" s="180"/>
      <c r="J114" s="216"/>
      <c r="K114" s="180"/>
      <c r="L114" s="180"/>
      <c r="M114" s="180"/>
      <c r="N114" s="180"/>
      <c r="O114" s="180"/>
      <c r="P114" s="180"/>
      <c r="Q114" s="180"/>
      <c r="R114" s="201"/>
      <c r="S114" s="853"/>
      <c r="T114" s="853"/>
      <c r="U114" s="855"/>
    </row>
    <row r="115" spans="1:22" ht="15" hidden="1" customHeight="1">
      <c r="A115" s="198" t="str">
        <f>A113</f>
        <v>철근(TON)</v>
      </c>
      <c r="B115" s="198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202"/>
      <c r="S115" s="852">
        <f>SUM(C115:R116)</f>
        <v>0</v>
      </c>
      <c r="T115" s="852"/>
      <c r="U115" s="854">
        <f>S115*T115</f>
        <v>0</v>
      </c>
    </row>
    <row r="116" spans="1:22" ht="15" hidden="1" customHeight="1">
      <c r="A116" s="191" t="s">
        <v>206</v>
      </c>
      <c r="B116" s="198"/>
      <c r="C116" s="180"/>
      <c r="D116" s="180"/>
      <c r="E116" s="180"/>
      <c r="F116" s="180"/>
      <c r="G116" s="180"/>
      <c r="H116" s="180"/>
      <c r="I116" s="180"/>
      <c r="J116" s="216"/>
      <c r="K116" s="180"/>
      <c r="L116" s="180"/>
      <c r="M116" s="180"/>
      <c r="N116" s="180"/>
      <c r="O116" s="180"/>
      <c r="P116" s="180"/>
      <c r="Q116" s="180"/>
      <c r="R116" s="201"/>
      <c r="S116" s="853"/>
      <c r="T116" s="853"/>
      <c r="U116" s="855"/>
    </row>
    <row r="117" spans="1:22" s="89" customFormat="1" ht="15" hidden="1" customHeight="1">
      <c r="A117" s="198" t="str">
        <f>A115</f>
        <v>철근(TON)</v>
      </c>
      <c r="B117" s="198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202"/>
      <c r="S117" s="852">
        <f>SUM(C117:R118)</f>
        <v>0</v>
      </c>
      <c r="T117" s="852"/>
      <c r="U117" s="854">
        <f>S117*T117</f>
        <v>0</v>
      </c>
    </row>
    <row r="118" spans="1:22" s="89" customFormat="1" ht="15" hidden="1" customHeight="1">
      <c r="A118" s="191" t="s">
        <v>207</v>
      </c>
      <c r="B118" s="191"/>
      <c r="C118" s="180"/>
      <c r="D118" s="180"/>
      <c r="E118" s="180"/>
      <c r="F118" s="180"/>
      <c r="G118" s="180"/>
      <c r="H118" s="180"/>
      <c r="I118" s="180"/>
      <c r="J118" s="216"/>
      <c r="K118" s="180"/>
      <c r="L118" s="180"/>
      <c r="M118" s="180"/>
      <c r="N118" s="180"/>
      <c r="O118" s="180"/>
      <c r="P118" s="180"/>
      <c r="Q118" s="180"/>
      <c r="R118" s="201"/>
      <c r="S118" s="853"/>
      <c r="T118" s="853"/>
      <c r="U118" s="855"/>
    </row>
    <row r="119" spans="1:22" s="96" customFormat="1" ht="13.5" customHeight="1">
      <c r="A119" s="868" t="s">
        <v>122</v>
      </c>
      <c r="B119" s="868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858">
        <f>SUM(C119:R120)</f>
        <v>0</v>
      </c>
      <c r="T119" s="859"/>
      <c r="U119" s="852">
        <f>SUM(U67:U118)</f>
        <v>166885520</v>
      </c>
    </row>
    <row r="120" spans="1:22" s="96" customFormat="1" ht="13.5" customHeight="1">
      <c r="A120" s="863"/>
      <c r="B120" s="858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858"/>
      <c r="T120" s="860"/>
      <c r="U120" s="853"/>
    </row>
    <row r="121" spans="1:22" s="96" customFormat="1" ht="13.5" hidden="1" customHeight="1">
      <c r="A121" s="203" t="s">
        <v>235</v>
      </c>
      <c r="B121" s="858" t="s">
        <v>234</v>
      </c>
      <c r="C121" s="196"/>
      <c r="D121" s="181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852">
        <f>SUM(C121:R122)</f>
        <v>0</v>
      </c>
      <c r="T121" s="852">
        <v>224000</v>
      </c>
      <c r="U121" s="854">
        <f>S121*T121</f>
        <v>0</v>
      </c>
    </row>
    <row r="122" spans="1:22" s="96" customFormat="1" ht="13.5" hidden="1" customHeight="1">
      <c r="A122" s="204" t="s">
        <v>311</v>
      </c>
      <c r="B122" s="858"/>
      <c r="C122" s="196"/>
      <c r="D122" s="181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5"/>
      <c r="S122" s="853"/>
      <c r="T122" s="853"/>
      <c r="U122" s="855"/>
    </row>
    <row r="123" spans="1:22" s="96" customFormat="1" ht="13.5" hidden="1" customHeight="1">
      <c r="A123" s="203" t="s">
        <v>235</v>
      </c>
      <c r="B123" s="858"/>
      <c r="C123" s="196"/>
      <c r="D123" s="181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6"/>
      <c r="S123" s="852">
        <f>SUM(C123:R124)</f>
        <v>0</v>
      </c>
      <c r="T123" s="852">
        <v>320000</v>
      </c>
      <c r="U123" s="854">
        <f>S123*T123</f>
        <v>0</v>
      </c>
    </row>
    <row r="124" spans="1:22" s="96" customFormat="1" ht="13.5" hidden="1" customHeight="1">
      <c r="A124" s="205" t="s">
        <v>312</v>
      </c>
      <c r="B124" s="858"/>
      <c r="C124" s="196"/>
      <c r="D124" s="181"/>
      <c r="E124" s="180"/>
      <c r="F124" s="180"/>
      <c r="G124" s="180"/>
      <c r="H124" s="180"/>
      <c r="I124" s="180"/>
      <c r="J124" s="180"/>
      <c r="K124" s="180"/>
      <c r="L124" s="180"/>
      <c r="M124" s="187"/>
      <c r="N124" s="180"/>
      <c r="O124" s="180"/>
      <c r="P124" s="180"/>
      <c r="Q124" s="180"/>
      <c r="R124" s="185"/>
      <c r="S124" s="853"/>
      <c r="T124" s="853"/>
      <c r="U124" s="855"/>
      <c r="V124" s="166">
        <f>59399200+14505800</f>
        <v>73905000</v>
      </c>
    </row>
    <row r="125" spans="1:22" s="96" customFormat="1" ht="13.5" hidden="1" customHeight="1">
      <c r="A125" s="203" t="s">
        <v>235</v>
      </c>
      <c r="B125" s="858"/>
      <c r="C125" s="196"/>
      <c r="D125" s="181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6"/>
      <c r="S125" s="852">
        <f>SUM(C125:R126)</f>
        <v>0</v>
      </c>
      <c r="T125" s="852">
        <v>384000</v>
      </c>
      <c r="U125" s="854">
        <f>S125*T125</f>
        <v>0</v>
      </c>
    </row>
    <row r="126" spans="1:22" s="96" customFormat="1" ht="13.5" hidden="1" customHeight="1">
      <c r="A126" s="205" t="s">
        <v>236</v>
      </c>
      <c r="B126" s="858"/>
      <c r="C126" s="196"/>
      <c r="D126" s="181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206"/>
      <c r="S126" s="853"/>
      <c r="T126" s="853"/>
      <c r="U126" s="855"/>
    </row>
    <row r="127" spans="1:22" s="96" customFormat="1" ht="13.5" hidden="1" customHeight="1">
      <c r="A127" s="203" t="s">
        <v>235</v>
      </c>
      <c r="B127" s="858"/>
      <c r="C127" s="196"/>
      <c r="D127" s="181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6"/>
      <c r="S127" s="852">
        <f>SUM(C127:R128)</f>
        <v>0</v>
      </c>
      <c r="T127" s="852">
        <v>480000</v>
      </c>
      <c r="U127" s="854">
        <f>S127*T127</f>
        <v>0</v>
      </c>
    </row>
    <row r="128" spans="1:22" s="96" customFormat="1" ht="13.5" hidden="1" customHeight="1">
      <c r="A128" s="205" t="s">
        <v>237</v>
      </c>
      <c r="B128" s="858"/>
      <c r="C128" s="196"/>
      <c r="D128" s="181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6"/>
      <c r="S128" s="853"/>
      <c r="T128" s="853"/>
      <c r="U128" s="855"/>
    </row>
    <row r="129" spans="1:22" s="96" customFormat="1" ht="13.5" hidden="1" customHeight="1">
      <c r="A129" s="194" t="s">
        <v>235</v>
      </c>
      <c r="B129" s="858" t="s">
        <v>313</v>
      </c>
      <c r="C129" s="207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6"/>
      <c r="S129" s="852">
        <f>SUM(C129:R130)</f>
        <v>0</v>
      </c>
      <c r="T129" s="852">
        <v>416000</v>
      </c>
      <c r="U129" s="854">
        <f>S129*T129</f>
        <v>0</v>
      </c>
    </row>
    <row r="130" spans="1:22" s="96" customFormat="1" ht="13.5" hidden="1" customHeight="1">
      <c r="A130" s="184" t="s">
        <v>315</v>
      </c>
      <c r="B130" s="858"/>
      <c r="C130" s="181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6"/>
      <c r="S130" s="853"/>
      <c r="T130" s="853"/>
      <c r="U130" s="855"/>
    </row>
    <row r="131" spans="1:22" s="96" customFormat="1" ht="13.5" hidden="1" customHeight="1">
      <c r="A131" s="183" t="s">
        <v>235</v>
      </c>
      <c r="B131" s="858"/>
      <c r="C131" s="181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6"/>
      <c r="S131" s="852">
        <f>SUM(C131:R132)</f>
        <v>0</v>
      </c>
      <c r="T131" s="852">
        <v>480000</v>
      </c>
      <c r="U131" s="854">
        <f>S131*T131</f>
        <v>0</v>
      </c>
    </row>
    <row r="132" spans="1:22" s="96" customFormat="1" ht="13.5" hidden="1" customHeight="1">
      <c r="A132" s="184" t="s">
        <v>316</v>
      </c>
      <c r="B132" s="858"/>
      <c r="C132" s="181"/>
      <c r="D132" s="180"/>
      <c r="E132" s="180"/>
      <c r="F132" s="180"/>
      <c r="G132" s="180"/>
      <c r="H132" s="180"/>
      <c r="I132" s="180"/>
      <c r="J132" s="180"/>
      <c r="K132" s="180"/>
      <c r="L132" s="180"/>
      <c r="M132" s="187"/>
      <c r="N132" s="180"/>
      <c r="O132" s="180"/>
      <c r="P132" s="180"/>
      <c r="Q132" s="180"/>
      <c r="R132" s="185"/>
      <c r="S132" s="853"/>
      <c r="T132" s="853"/>
      <c r="U132" s="855"/>
      <c r="V132" s="166">
        <f>59399200+14505800</f>
        <v>73905000</v>
      </c>
    </row>
    <row r="133" spans="1:22" s="96" customFormat="1" ht="13.5" hidden="1" customHeight="1">
      <c r="A133" s="194" t="s">
        <v>235</v>
      </c>
      <c r="B133" s="858"/>
      <c r="C133" s="207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6"/>
      <c r="S133" s="852">
        <f>SUM(C133:R134)</f>
        <v>0</v>
      </c>
      <c r="T133" s="852">
        <v>288000</v>
      </c>
      <c r="U133" s="854">
        <f>S133*T133</f>
        <v>0</v>
      </c>
    </row>
    <row r="134" spans="1:22" s="96" customFormat="1" ht="13.5" hidden="1" customHeight="1">
      <c r="A134" s="184" t="s">
        <v>317</v>
      </c>
      <c r="B134" s="858"/>
      <c r="C134" s="181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6"/>
      <c r="S134" s="853"/>
      <c r="T134" s="853"/>
      <c r="U134" s="855"/>
    </row>
    <row r="135" spans="1:22" s="96" customFormat="1" ht="13.5" hidden="1" customHeight="1">
      <c r="A135" s="858" t="s">
        <v>122</v>
      </c>
      <c r="B135" s="858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852">
        <f>SUM(C135:R136)</f>
        <v>0</v>
      </c>
      <c r="T135" s="854">
        <f>SUM(T115:T134)</f>
        <v>2592000</v>
      </c>
      <c r="U135" s="854">
        <f>SUM(U121:U134)</f>
        <v>0</v>
      </c>
    </row>
    <row r="136" spans="1:22" s="96" customFormat="1" ht="13.5" hidden="1" customHeight="1">
      <c r="A136" s="858"/>
      <c r="B136" s="858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853"/>
      <c r="T136" s="855"/>
      <c r="U136" s="855"/>
    </row>
    <row r="137" spans="1:22" s="96" customFormat="1" ht="13.5" hidden="1" customHeight="1">
      <c r="A137" s="190" t="s">
        <v>238</v>
      </c>
      <c r="B137" s="858" t="s">
        <v>240</v>
      </c>
      <c r="C137" s="180"/>
      <c r="D137" s="180"/>
      <c r="E137" s="180"/>
      <c r="F137" s="180"/>
      <c r="G137" s="180"/>
      <c r="H137" s="180"/>
      <c r="I137" s="180"/>
      <c r="J137" s="180"/>
      <c r="K137" s="206"/>
      <c r="L137" s="206"/>
      <c r="M137" s="206"/>
      <c r="N137" s="206"/>
      <c r="O137" s="206"/>
      <c r="P137" s="206"/>
      <c r="Q137" s="206"/>
      <c r="R137" s="206"/>
      <c r="S137" s="852">
        <f>SUM(C137:R138)</f>
        <v>0</v>
      </c>
      <c r="T137" s="852">
        <v>60000</v>
      </c>
      <c r="U137" s="854">
        <f>S137*T137</f>
        <v>0</v>
      </c>
    </row>
    <row r="138" spans="1:22" s="96" customFormat="1" ht="13.5" hidden="1" customHeight="1">
      <c r="A138" s="191">
        <v>500</v>
      </c>
      <c r="B138" s="858"/>
      <c r="C138" s="180"/>
      <c r="D138" s="180"/>
      <c r="E138" s="180"/>
      <c r="F138" s="180"/>
      <c r="G138" s="180"/>
      <c r="H138" s="180"/>
      <c r="I138" s="180"/>
      <c r="J138" s="180"/>
      <c r="K138" s="206"/>
      <c r="L138" s="206"/>
      <c r="M138" s="206"/>
      <c r="N138" s="206"/>
      <c r="O138" s="206"/>
      <c r="P138" s="206"/>
      <c r="Q138" s="206"/>
      <c r="R138" s="206"/>
      <c r="S138" s="853"/>
      <c r="T138" s="853"/>
      <c r="U138" s="855"/>
    </row>
    <row r="139" spans="1:22" s="96" customFormat="1" ht="13.5" hidden="1" customHeight="1">
      <c r="A139" s="183" t="s">
        <v>239</v>
      </c>
      <c r="B139" s="858" t="s">
        <v>314</v>
      </c>
      <c r="C139" s="181"/>
      <c r="D139" s="180"/>
      <c r="E139" s="180"/>
      <c r="F139" s="180"/>
      <c r="G139" s="180"/>
      <c r="H139" s="180"/>
      <c r="I139" s="180"/>
      <c r="J139" s="180"/>
      <c r="K139" s="206"/>
      <c r="L139" s="206"/>
      <c r="M139" s="206"/>
      <c r="N139" s="206"/>
      <c r="O139" s="206"/>
      <c r="P139" s="206"/>
      <c r="Q139" s="206"/>
      <c r="R139" s="206"/>
      <c r="S139" s="852">
        <f>SUM(C139:R140)</f>
        <v>0</v>
      </c>
      <c r="T139" s="852">
        <v>60000</v>
      </c>
      <c r="U139" s="854">
        <f>S139*T139</f>
        <v>0</v>
      </c>
    </row>
    <row r="140" spans="1:22" s="96" customFormat="1" ht="13.5" hidden="1" customHeight="1">
      <c r="A140" s="184"/>
      <c r="B140" s="858"/>
      <c r="C140" s="181"/>
      <c r="D140" s="180"/>
      <c r="E140" s="180"/>
      <c r="F140" s="180"/>
      <c r="G140" s="180"/>
      <c r="H140" s="180"/>
      <c r="I140" s="180"/>
      <c r="J140" s="180"/>
      <c r="K140" s="206"/>
      <c r="L140" s="206"/>
      <c r="M140" s="206"/>
      <c r="N140" s="206"/>
      <c r="O140" s="206"/>
      <c r="P140" s="206"/>
      <c r="Q140" s="206"/>
      <c r="R140" s="206"/>
      <c r="S140" s="853"/>
      <c r="T140" s="853"/>
      <c r="U140" s="855"/>
    </row>
    <row r="141" spans="1:22" s="96" customFormat="1" ht="13.5" hidden="1" customHeight="1">
      <c r="A141" s="868" t="s">
        <v>122</v>
      </c>
      <c r="B141" s="863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852">
        <f>SUM(C141:R142)</f>
        <v>0</v>
      </c>
      <c r="T141" s="854">
        <f>SUM(T137:T140)</f>
        <v>120000</v>
      </c>
      <c r="U141" s="854">
        <f>SUM(U137:U140)</f>
        <v>0</v>
      </c>
    </row>
    <row r="142" spans="1:22" s="96" customFormat="1" ht="13.5" hidden="1" customHeight="1">
      <c r="A142" s="865"/>
      <c r="B142" s="865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853"/>
      <c r="T142" s="855"/>
      <c r="U142" s="855"/>
    </row>
    <row r="143" spans="1:22" ht="15" hidden="1" customHeight="1">
      <c r="A143" s="194" t="s">
        <v>204</v>
      </c>
      <c r="B143" s="858" t="s">
        <v>285</v>
      </c>
      <c r="C143" s="196"/>
      <c r="D143" s="196"/>
      <c r="E143" s="196"/>
      <c r="F143" s="196"/>
      <c r="G143" s="196"/>
      <c r="H143" s="196"/>
      <c r="I143" s="196"/>
      <c r="J143" s="195"/>
      <c r="K143" s="196"/>
      <c r="L143" s="196"/>
      <c r="M143" s="196"/>
      <c r="N143" s="196"/>
      <c r="O143" s="196"/>
      <c r="P143" s="196"/>
      <c r="Q143" s="196"/>
      <c r="R143" s="196"/>
      <c r="S143" s="866">
        <f>SUM(C143:R144)</f>
        <v>0</v>
      </c>
      <c r="T143" s="861">
        <v>720000</v>
      </c>
      <c r="U143" s="854">
        <f>S143*T143</f>
        <v>0</v>
      </c>
    </row>
    <row r="144" spans="1:22" ht="15" hidden="1" customHeight="1">
      <c r="A144" s="184" t="s">
        <v>154</v>
      </c>
      <c r="B144" s="858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866"/>
      <c r="T144" s="862"/>
      <c r="U144" s="855"/>
    </row>
    <row r="145" spans="1:21" ht="15" hidden="1" customHeight="1">
      <c r="A145" s="194" t="str">
        <f>A143</f>
        <v>철근(TON)</v>
      </c>
      <c r="B145" s="858"/>
      <c r="C145" s="196"/>
      <c r="D145" s="196"/>
      <c r="E145" s="196"/>
      <c r="F145" s="196"/>
      <c r="G145" s="196"/>
      <c r="H145" s="196"/>
      <c r="I145" s="196"/>
      <c r="J145" s="195"/>
      <c r="K145" s="196"/>
      <c r="L145" s="196"/>
      <c r="M145" s="196"/>
      <c r="N145" s="196"/>
      <c r="O145" s="196"/>
      <c r="P145" s="196"/>
      <c r="Q145" s="196"/>
      <c r="R145" s="196"/>
      <c r="S145" s="857">
        <f>SUM(C145:R146)</f>
        <v>0</v>
      </c>
      <c r="T145" s="861">
        <v>710000</v>
      </c>
      <c r="U145" s="854">
        <f>S145*T145</f>
        <v>0</v>
      </c>
    </row>
    <row r="146" spans="1:21" ht="15" hidden="1" customHeight="1">
      <c r="A146" s="184" t="s">
        <v>208</v>
      </c>
      <c r="B146" s="858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857"/>
      <c r="T146" s="862"/>
      <c r="U146" s="855"/>
    </row>
    <row r="147" spans="1:21" ht="15" hidden="1" customHeight="1">
      <c r="A147" s="194" t="str">
        <f>A145</f>
        <v>철근(TON)</v>
      </c>
      <c r="B147" s="858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856">
        <f>SUM(C147:R148)</f>
        <v>0</v>
      </c>
      <c r="T147" s="861"/>
      <c r="U147" s="854">
        <f>S147*T147</f>
        <v>0</v>
      </c>
    </row>
    <row r="148" spans="1:21" ht="15" hidden="1" customHeight="1">
      <c r="A148" s="184" t="s">
        <v>209</v>
      </c>
      <c r="B148" s="858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856"/>
      <c r="T148" s="862"/>
      <c r="U148" s="855"/>
    </row>
    <row r="149" spans="1:21" ht="15" hidden="1" customHeight="1">
      <c r="A149" s="194" t="str">
        <f>A147</f>
        <v>철근(TON)</v>
      </c>
      <c r="B149" s="858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856">
        <f>SUM(C149:R150)</f>
        <v>0</v>
      </c>
      <c r="T149" s="861"/>
      <c r="U149" s="854">
        <f>S149*T149</f>
        <v>0</v>
      </c>
    </row>
    <row r="150" spans="1:21" ht="15" hidden="1" customHeight="1">
      <c r="A150" s="184" t="s">
        <v>210</v>
      </c>
      <c r="B150" s="858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856"/>
      <c r="T150" s="862"/>
      <c r="U150" s="855"/>
    </row>
    <row r="151" spans="1:21" ht="15" hidden="1" customHeight="1">
      <c r="A151" s="194" t="str">
        <f>A149</f>
        <v>철근(TON)</v>
      </c>
      <c r="B151" s="858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856">
        <f>SUM(C151:R152)</f>
        <v>0</v>
      </c>
      <c r="T151" s="861"/>
      <c r="U151" s="854">
        <f>S151*T151</f>
        <v>0</v>
      </c>
    </row>
    <row r="152" spans="1:21" ht="15" hidden="1" customHeight="1">
      <c r="A152" s="184" t="s">
        <v>211</v>
      </c>
      <c r="B152" s="858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856"/>
      <c r="T152" s="862"/>
      <c r="U152" s="855"/>
    </row>
    <row r="153" spans="1:21" ht="15" hidden="1" customHeight="1">
      <c r="A153" s="194" t="str">
        <f>A151</f>
        <v>철근(TON)</v>
      </c>
      <c r="B153" s="858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856">
        <f>SUM(C153:R154)</f>
        <v>0</v>
      </c>
      <c r="T153" s="861"/>
      <c r="U153" s="854">
        <f>S153*T153</f>
        <v>0</v>
      </c>
    </row>
    <row r="154" spans="1:21" ht="15" hidden="1" customHeight="1">
      <c r="A154" s="184" t="s">
        <v>212</v>
      </c>
      <c r="B154" s="858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856"/>
      <c r="T154" s="862"/>
      <c r="U154" s="855"/>
    </row>
    <row r="155" spans="1:21" ht="15" hidden="1" customHeight="1">
      <c r="A155" s="194" t="s">
        <v>204</v>
      </c>
      <c r="B155" s="858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856">
        <f>SUM(C155:R156)</f>
        <v>0</v>
      </c>
      <c r="T155" s="861">
        <v>820000</v>
      </c>
      <c r="U155" s="854">
        <f>S155*T155</f>
        <v>0</v>
      </c>
    </row>
    <row r="156" spans="1:21" ht="15" hidden="1" customHeight="1">
      <c r="A156" s="184" t="s">
        <v>154</v>
      </c>
      <c r="B156" s="858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856"/>
      <c r="T156" s="862"/>
      <c r="U156" s="855"/>
    </row>
    <row r="157" spans="1:21" ht="15" hidden="1" customHeight="1">
      <c r="A157" s="194" t="s">
        <v>204</v>
      </c>
      <c r="B157" s="858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866">
        <f>SUM(C157:R158)</f>
        <v>0</v>
      </c>
      <c r="T157" s="861">
        <v>705000</v>
      </c>
      <c r="U157" s="854">
        <f>S157*T157</f>
        <v>0</v>
      </c>
    </row>
    <row r="158" spans="1:21" ht="15" hidden="1" customHeight="1">
      <c r="A158" s="184" t="s">
        <v>209</v>
      </c>
      <c r="B158" s="858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866"/>
      <c r="T158" s="862"/>
      <c r="U158" s="855"/>
    </row>
    <row r="159" spans="1:21" ht="15" hidden="1" customHeight="1">
      <c r="A159" s="194" t="str">
        <f>A157</f>
        <v>철근(TON)</v>
      </c>
      <c r="B159" s="858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856">
        <f>SUM(C159:R160)</f>
        <v>0</v>
      </c>
      <c r="T159" s="861">
        <v>705000</v>
      </c>
      <c r="U159" s="854">
        <f>S159*T159</f>
        <v>0</v>
      </c>
    </row>
    <row r="160" spans="1:21" ht="15" hidden="1" customHeight="1">
      <c r="A160" s="184" t="s">
        <v>211</v>
      </c>
      <c r="B160" s="858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856"/>
      <c r="T160" s="862"/>
      <c r="U160" s="855"/>
    </row>
    <row r="161" spans="1:21" ht="15" hidden="1" customHeight="1">
      <c r="A161" s="194" t="s">
        <v>204</v>
      </c>
      <c r="B161" s="858"/>
      <c r="C161" s="196"/>
      <c r="D161" s="196"/>
      <c r="E161" s="196"/>
      <c r="F161" s="196"/>
      <c r="G161" s="196"/>
      <c r="H161" s="196"/>
      <c r="I161" s="196"/>
      <c r="J161" s="195"/>
      <c r="K161" s="196"/>
      <c r="L161" s="196"/>
      <c r="M161" s="196"/>
      <c r="N161" s="196"/>
      <c r="O161" s="196"/>
      <c r="P161" s="196"/>
      <c r="Q161" s="196"/>
      <c r="R161" s="196"/>
      <c r="S161" s="866">
        <f>SUM(C161:R162)</f>
        <v>0</v>
      </c>
      <c r="T161" s="861">
        <v>705000</v>
      </c>
      <c r="U161" s="854">
        <f>S161*T161</f>
        <v>0</v>
      </c>
    </row>
    <row r="162" spans="1:21" ht="15" hidden="1" customHeight="1">
      <c r="A162" s="184" t="s">
        <v>264</v>
      </c>
      <c r="B162" s="858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866"/>
      <c r="T162" s="862"/>
      <c r="U162" s="855"/>
    </row>
    <row r="163" spans="1:21" ht="15" hidden="1" customHeight="1">
      <c r="A163" s="194" t="str">
        <f>A161</f>
        <v>철근(TON)</v>
      </c>
      <c r="B163" s="858"/>
      <c r="C163" s="196"/>
      <c r="D163" s="196"/>
      <c r="E163" s="196"/>
      <c r="F163" s="196"/>
      <c r="G163" s="196"/>
      <c r="H163" s="196"/>
      <c r="I163" s="196"/>
      <c r="J163" s="195"/>
      <c r="K163" s="196"/>
      <c r="L163" s="196"/>
      <c r="M163" s="196"/>
      <c r="N163" s="196"/>
      <c r="O163" s="196"/>
      <c r="P163" s="196"/>
      <c r="Q163" s="196"/>
      <c r="R163" s="196"/>
      <c r="S163" s="857">
        <f>SUM(C163:R164)</f>
        <v>0</v>
      </c>
      <c r="T163" s="861">
        <v>705000</v>
      </c>
      <c r="U163" s="854">
        <f>S163*T163</f>
        <v>0</v>
      </c>
    </row>
    <row r="164" spans="1:21" ht="15" hidden="1" customHeight="1">
      <c r="A164" s="184" t="s">
        <v>265</v>
      </c>
      <c r="B164" s="858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857"/>
      <c r="T164" s="862"/>
      <c r="U164" s="855"/>
    </row>
    <row r="165" spans="1:21" ht="15" hidden="1" customHeight="1">
      <c r="A165" s="194" t="str">
        <f>A163</f>
        <v>철근(TON)</v>
      </c>
      <c r="B165" s="858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856">
        <f>SUM(C165:R166)</f>
        <v>0</v>
      </c>
      <c r="T165" s="861"/>
      <c r="U165" s="854">
        <f>S165*T165</f>
        <v>0</v>
      </c>
    </row>
    <row r="166" spans="1:21" ht="15" hidden="1" customHeight="1">
      <c r="A166" s="184" t="s">
        <v>209</v>
      </c>
      <c r="B166" s="858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856"/>
      <c r="T166" s="862"/>
      <c r="U166" s="855"/>
    </row>
    <row r="167" spans="1:21" ht="15" hidden="1" customHeight="1">
      <c r="A167" s="194" t="str">
        <f>A165</f>
        <v>철근(TON)</v>
      </c>
      <c r="B167" s="858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856">
        <f>SUM(C167:R168)</f>
        <v>0</v>
      </c>
      <c r="T167" s="861"/>
      <c r="U167" s="854">
        <f>S167*T167</f>
        <v>0</v>
      </c>
    </row>
    <row r="168" spans="1:21" ht="15" hidden="1" customHeight="1">
      <c r="A168" s="184" t="s">
        <v>210</v>
      </c>
      <c r="B168" s="858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856"/>
      <c r="T168" s="862"/>
      <c r="U168" s="855"/>
    </row>
    <row r="169" spans="1:21" ht="15" hidden="1" customHeight="1">
      <c r="A169" s="194" t="str">
        <f>A167</f>
        <v>철근(TON)</v>
      </c>
      <c r="B169" s="858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856">
        <f>SUM(C169:R170)</f>
        <v>0</v>
      </c>
      <c r="T169" s="861"/>
      <c r="U169" s="854">
        <f>S169*T169</f>
        <v>0</v>
      </c>
    </row>
    <row r="170" spans="1:21" ht="15" hidden="1" customHeight="1">
      <c r="A170" s="184" t="s">
        <v>211</v>
      </c>
      <c r="B170" s="858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856"/>
      <c r="T170" s="862"/>
      <c r="U170" s="855"/>
    </row>
    <row r="171" spans="1:21" ht="15" hidden="1" customHeight="1">
      <c r="A171" s="194" t="str">
        <f>A169</f>
        <v>철근(TON)</v>
      </c>
      <c r="B171" s="858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856">
        <f>SUM(C171:R172)</f>
        <v>0</v>
      </c>
      <c r="T171" s="861"/>
      <c r="U171" s="854">
        <f>S171*T171</f>
        <v>0</v>
      </c>
    </row>
    <row r="172" spans="1:21" ht="15" hidden="1" customHeight="1">
      <c r="A172" s="184" t="s">
        <v>212</v>
      </c>
      <c r="B172" s="858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856"/>
      <c r="T172" s="862"/>
      <c r="U172" s="855"/>
    </row>
    <row r="173" spans="1:21" ht="15" hidden="1" customHeight="1">
      <c r="A173" s="194" t="s">
        <v>204</v>
      </c>
      <c r="B173" s="858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856">
        <f>SUM(C173:R174)</f>
        <v>0</v>
      </c>
      <c r="T173" s="861">
        <v>820000</v>
      </c>
      <c r="U173" s="854">
        <f>S173*T173</f>
        <v>0</v>
      </c>
    </row>
    <row r="174" spans="1:21" ht="15" hidden="1" customHeight="1">
      <c r="A174" s="184" t="s">
        <v>154</v>
      </c>
      <c r="B174" s="858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856"/>
      <c r="T174" s="862"/>
      <c r="U174" s="855"/>
    </row>
    <row r="175" spans="1:21" ht="15" hidden="1" customHeight="1">
      <c r="A175" s="194" t="s">
        <v>204</v>
      </c>
      <c r="B175" s="858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866">
        <f>SUM(C175:R176)</f>
        <v>0</v>
      </c>
      <c r="T175" s="861">
        <v>735000</v>
      </c>
      <c r="U175" s="854">
        <f>S175*T175</f>
        <v>0</v>
      </c>
    </row>
    <row r="176" spans="1:21" ht="15" hidden="1" customHeight="1">
      <c r="A176" s="184" t="s">
        <v>266</v>
      </c>
      <c r="B176" s="858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866"/>
      <c r="T176" s="862"/>
      <c r="U176" s="855"/>
    </row>
    <row r="177" spans="1:21" ht="15" hidden="1" customHeight="1">
      <c r="A177" s="194" t="str">
        <f>A155</f>
        <v>철근(TON)</v>
      </c>
      <c r="B177" s="858" t="s">
        <v>256</v>
      </c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864">
        <f>SUM(C177:R178)</f>
        <v>0</v>
      </c>
      <c r="T177" s="861">
        <v>710000</v>
      </c>
      <c r="U177" s="854">
        <f>S177*T177</f>
        <v>0</v>
      </c>
    </row>
    <row r="178" spans="1:21" ht="15" hidden="1" customHeight="1">
      <c r="A178" s="184" t="s">
        <v>208</v>
      </c>
      <c r="B178" s="858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864"/>
      <c r="T178" s="862"/>
      <c r="U178" s="855"/>
    </row>
    <row r="179" spans="1:21" ht="15" hidden="1" customHeight="1">
      <c r="A179" s="194" t="str">
        <f>A177</f>
        <v>철근(TON)</v>
      </c>
      <c r="B179" s="858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864">
        <f>SUM(C179:R180)</f>
        <v>0</v>
      </c>
      <c r="T179" s="861"/>
      <c r="U179" s="854">
        <f>S179*T179</f>
        <v>0</v>
      </c>
    </row>
    <row r="180" spans="1:21" ht="15" hidden="1" customHeight="1">
      <c r="A180" s="184" t="s">
        <v>209</v>
      </c>
      <c r="B180" s="858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864"/>
      <c r="T180" s="862"/>
      <c r="U180" s="855"/>
    </row>
    <row r="181" spans="1:21" ht="15" hidden="1" customHeight="1">
      <c r="A181" s="194" t="str">
        <f>A179</f>
        <v>철근(TON)</v>
      </c>
      <c r="B181" s="858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864">
        <f>SUM(C181:R182)</f>
        <v>0</v>
      </c>
      <c r="T181" s="861">
        <v>705000</v>
      </c>
      <c r="U181" s="854">
        <f>S181*T181</f>
        <v>0</v>
      </c>
    </row>
    <row r="182" spans="1:21" ht="15" hidden="1" customHeight="1">
      <c r="A182" s="184" t="s">
        <v>210</v>
      </c>
      <c r="B182" s="858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864"/>
      <c r="T182" s="862"/>
      <c r="U182" s="855"/>
    </row>
    <row r="183" spans="1:21" ht="15" hidden="1" customHeight="1">
      <c r="A183" s="198" t="str">
        <f>A153</f>
        <v>철근(TON)</v>
      </c>
      <c r="B183" s="198"/>
      <c r="C183" s="199"/>
      <c r="D183" s="199"/>
      <c r="E183" s="199"/>
      <c r="F183" s="199"/>
      <c r="G183" s="199"/>
      <c r="H183" s="199"/>
      <c r="I183" s="199"/>
      <c r="J183" s="215"/>
      <c r="K183" s="199"/>
      <c r="L183" s="199"/>
      <c r="M183" s="199"/>
      <c r="N183" s="199"/>
      <c r="O183" s="199"/>
      <c r="P183" s="199"/>
      <c r="Q183" s="199"/>
      <c r="R183" s="200"/>
      <c r="S183" s="867">
        <f>SUM(C183:R184)</f>
        <v>0</v>
      </c>
      <c r="T183" s="852"/>
      <c r="U183" s="854">
        <f>S183*T183</f>
        <v>0</v>
      </c>
    </row>
    <row r="184" spans="1:21" ht="15" hidden="1" customHeight="1">
      <c r="A184" s="191" t="s">
        <v>213</v>
      </c>
      <c r="B184" s="198"/>
      <c r="C184" s="180"/>
      <c r="D184" s="180"/>
      <c r="E184" s="180"/>
      <c r="F184" s="180"/>
      <c r="G184" s="180"/>
      <c r="H184" s="180"/>
      <c r="I184" s="180"/>
      <c r="J184" s="216"/>
      <c r="K184" s="180"/>
      <c r="L184" s="180"/>
      <c r="M184" s="180"/>
      <c r="N184" s="180"/>
      <c r="O184" s="180"/>
      <c r="P184" s="180"/>
      <c r="Q184" s="180"/>
      <c r="R184" s="201"/>
      <c r="S184" s="853"/>
      <c r="T184" s="853"/>
      <c r="U184" s="855"/>
    </row>
    <row r="185" spans="1:21" ht="15" hidden="1" customHeight="1">
      <c r="A185" s="198" t="str">
        <f>A183</f>
        <v>철근(TON)</v>
      </c>
      <c r="B185" s="198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202"/>
      <c r="S185" s="852">
        <f>SUM(C185:R186)</f>
        <v>0</v>
      </c>
      <c r="T185" s="852"/>
      <c r="U185" s="854">
        <f>S185*T185</f>
        <v>0</v>
      </c>
    </row>
    <row r="186" spans="1:21" ht="15" hidden="1" customHeight="1">
      <c r="A186" s="191" t="s">
        <v>205</v>
      </c>
      <c r="B186" s="198"/>
      <c r="C186" s="180"/>
      <c r="D186" s="180"/>
      <c r="E186" s="180"/>
      <c r="F186" s="180"/>
      <c r="G186" s="180"/>
      <c r="H186" s="180"/>
      <c r="I186" s="180"/>
      <c r="J186" s="216"/>
      <c r="K186" s="180"/>
      <c r="L186" s="180"/>
      <c r="M186" s="180"/>
      <c r="N186" s="180"/>
      <c r="O186" s="180"/>
      <c r="P186" s="180"/>
      <c r="Q186" s="180"/>
      <c r="R186" s="201"/>
      <c r="S186" s="853"/>
      <c r="T186" s="853"/>
      <c r="U186" s="855"/>
    </row>
    <row r="187" spans="1:21" ht="15" hidden="1" customHeight="1">
      <c r="A187" s="198" t="str">
        <f>A185</f>
        <v>철근(TON)</v>
      </c>
      <c r="B187" s="198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202"/>
      <c r="S187" s="852">
        <f>SUM(C187:R188)</f>
        <v>0</v>
      </c>
      <c r="T187" s="852"/>
      <c r="U187" s="854">
        <f>S187*T187</f>
        <v>0</v>
      </c>
    </row>
    <row r="188" spans="1:21" ht="15" hidden="1" customHeight="1">
      <c r="A188" s="191" t="s">
        <v>206</v>
      </c>
      <c r="B188" s="198"/>
      <c r="C188" s="180"/>
      <c r="D188" s="180"/>
      <c r="E188" s="180"/>
      <c r="F188" s="180"/>
      <c r="G188" s="180"/>
      <c r="H188" s="180"/>
      <c r="I188" s="180"/>
      <c r="J188" s="216"/>
      <c r="K188" s="180"/>
      <c r="L188" s="180"/>
      <c r="M188" s="180"/>
      <c r="N188" s="180"/>
      <c r="O188" s="180"/>
      <c r="P188" s="180"/>
      <c r="Q188" s="180"/>
      <c r="R188" s="201"/>
      <c r="S188" s="853"/>
      <c r="T188" s="853"/>
      <c r="U188" s="855"/>
    </row>
    <row r="189" spans="1:21" s="89" customFormat="1" ht="15" hidden="1" customHeight="1">
      <c r="A189" s="198" t="str">
        <f>A187</f>
        <v>철근(TON)</v>
      </c>
      <c r="B189" s="198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202"/>
      <c r="S189" s="852">
        <f>SUM(C189:R190)</f>
        <v>0</v>
      </c>
      <c r="T189" s="852"/>
      <c r="U189" s="854">
        <f>S189*T189</f>
        <v>0</v>
      </c>
    </row>
    <row r="190" spans="1:21" s="89" customFormat="1" ht="15" hidden="1" customHeight="1">
      <c r="A190" s="191" t="s">
        <v>207</v>
      </c>
      <c r="B190" s="191"/>
      <c r="C190" s="180"/>
      <c r="D190" s="180"/>
      <c r="E190" s="180"/>
      <c r="F190" s="180"/>
      <c r="G190" s="180"/>
      <c r="H190" s="180"/>
      <c r="I190" s="180"/>
      <c r="J190" s="216"/>
      <c r="K190" s="180"/>
      <c r="L190" s="180"/>
      <c r="M190" s="180"/>
      <c r="N190" s="180"/>
      <c r="O190" s="180"/>
      <c r="P190" s="180"/>
      <c r="Q190" s="180"/>
      <c r="R190" s="201"/>
      <c r="S190" s="853"/>
      <c r="T190" s="853"/>
      <c r="U190" s="855"/>
    </row>
    <row r="191" spans="1:21" s="96" customFormat="1" ht="13.5" hidden="1" customHeight="1">
      <c r="A191" s="868" t="s">
        <v>122</v>
      </c>
      <c r="B191" s="868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858">
        <f>SUM(C191:R192)</f>
        <v>0</v>
      </c>
      <c r="T191" s="859"/>
      <c r="U191" s="852">
        <f>SUM(U143:U190)</f>
        <v>0</v>
      </c>
    </row>
    <row r="192" spans="1:21" s="96" customFormat="1" ht="13.5" hidden="1" customHeight="1">
      <c r="A192" s="863"/>
      <c r="B192" s="858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858"/>
      <c r="T192" s="860"/>
      <c r="U192" s="853"/>
    </row>
    <row r="193" spans="1:22" s="96" customFormat="1" ht="13.5" customHeight="1">
      <c r="A193" s="874" t="s">
        <v>217</v>
      </c>
      <c r="B193" s="868" t="s">
        <v>322</v>
      </c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200"/>
      <c r="S193" s="867">
        <f>SUM(C193:R194)</f>
        <v>0</v>
      </c>
      <c r="T193" s="867">
        <v>0</v>
      </c>
      <c r="U193" s="854">
        <f>S193*T193</f>
        <v>0</v>
      </c>
    </row>
    <row r="194" spans="1:22" s="96" customFormat="1" ht="13.5" customHeight="1">
      <c r="A194" s="873"/>
      <c r="B194" s="863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201"/>
      <c r="S194" s="853"/>
      <c r="T194" s="853"/>
      <c r="U194" s="855"/>
    </row>
    <row r="195" spans="1:22" s="96" customFormat="1" ht="13.5" customHeight="1">
      <c r="A195" s="872" t="s">
        <v>216</v>
      </c>
      <c r="B195" s="863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201"/>
      <c r="S195" s="852">
        <f>SUM(C195:R196)</f>
        <v>0</v>
      </c>
      <c r="T195" s="852">
        <v>0</v>
      </c>
      <c r="U195" s="854">
        <f>S195*T195</f>
        <v>0</v>
      </c>
    </row>
    <row r="196" spans="1:22" s="96" customFormat="1" ht="13.5" customHeight="1">
      <c r="A196" s="873"/>
      <c r="B196" s="863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201"/>
      <c r="S196" s="853"/>
      <c r="T196" s="853"/>
      <c r="U196" s="855"/>
    </row>
    <row r="197" spans="1:22" s="96" customFormat="1" ht="13.5" customHeight="1">
      <c r="A197" s="872" t="s">
        <v>215</v>
      </c>
      <c r="B197" s="863"/>
      <c r="C197" s="208"/>
      <c r="D197" s="208"/>
      <c r="E197" s="208"/>
      <c r="F197" s="208"/>
      <c r="G197" s="208"/>
      <c r="H197" s="208"/>
      <c r="I197" s="208"/>
      <c r="J197" s="180"/>
      <c r="K197" s="180"/>
      <c r="L197" s="180"/>
      <c r="M197" s="180"/>
      <c r="N197" s="180"/>
      <c r="O197" s="180"/>
      <c r="P197" s="180"/>
      <c r="Q197" s="180"/>
      <c r="R197" s="201"/>
      <c r="S197" s="852">
        <f>SUM(C197:R198)</f>
        <v>0</v>
      </c>
      <c r="T197" s="852"/>
      <c r="U197" s="854">
        <f>S197*T197</f>
        <v>0</v>
      </c>
    </row>
    <row r="198" spans="1:22" s="96" customFormat="1" ht="13.5" customHeight="1">
      <c r="A198" s="873"/>
      <c r="B198" s="863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201"/>
      <c r="S198" s="853"/>
      <c r="T198" s="853"/>
      <c r="U198" s="855"/>
    </row>
    <row r="199" spans="1:22" s="96" customFormat="1" ht="13.5" customHeight="1">
      <c r="A199" s="872" t="s">
        <v>197</v>
      </c>
      <c r="B199" s="863"/>
      <c r="C199" s="180">
        <v>106</v>
      </c>
      <c r="D199" s="180"/>
      <c r="E199" s="180"/>
      <c r="F199" s="180"/>
      <c r="G199" s="180">
        <v>68</v>
      </c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201"/>
      <c r="S199" s="852">
        <f>SUM(C199:R200)</f>
        <v>174</v>
      </c>
      <c r="T199" s="852">
        <v>14000</v>
      </c>
      <c r="U199" s="854">
        <f>S199*T199</f>
        <v>2436000</v>
      </c>
    </row>
    <row r="200" spans="1:22" s="96" customFormat="1" ht="13.5" customHeight="1">
      <c r="A200" s="858"/>
      <c r="B200" s="863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209"/>
      <c r="S200" s="853"/>
      <c r="T200" s="853"/>
      <c r="U200" s="855"/>
    </row>
    <row r="201" spans="1:22" ht="15" customHeight="1">
      <c r="A201" s="868" t="s">
        <v>122</v>
      </c>
      <c r="B201" s="868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852">
        <f>SUM(C201:R202)</f>
        <v>0</v>
      </c>
      <c r="T201" s="859"/>
      <c r="U201" s="854">
        <f>SUM(U193:U200)</f>
        <v>2436000</v>
      </c>
    </row>
    <row r="202" spans="1:22" ht="15" customHeight="1">
      <c r="A202" s="865"/>
      <c r="B202" s="865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853"/>
      <c r="T202" s="860"/>
      <c r="U202" s="855"/>
      <c r="V202" s="99" t="e">
        <f>#REF!*#REF!</f>
        <v>#REF!</v>
      </c>
    </row>
    <row r="203" spans="1:22" s="89" customFormat="1" ht="15" customHeight="1">
      <c r="A203" s="870" t="s">
        <v>202</v>
      </c>
      <c r="B203" s="868" t="s">
        <v>289</v>
      </c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202"/>
      <c r="S203" s="852">
        <f>SUM(C203:R204)</f>
        <v>0</v>
      </c>
      <c r="T203" s="852">
        <v>3900</v>
      </c>
      <c r="U203" s="854">
        <f>S203*T203</f>
        <v>0</v>
      </c>
    </row>
    <row r="204" spans="1:22" s="89" customFormat="1" ht="15" customHeight="1">
      <c r="A204" s="871"/>
      <c r="B204" s="863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853"/>
      <c r="T204" s="853"/>
      <c r="U204" s="855"/>
    </row>
    <row r="205" spans="1:22" s="89" customFormat="1" ht="15" customHeight="1">
      <c r="A205" s="870" t="s">
        <v>298</v>
      </c>
      <c r="B205" s="863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202"/>
      <c r="S205" s="852">
        <f>SUM(C205:R206)</f>
        <v>0</v>
      </c>
      <c r="T205" s="852">
        <v>4700</v>
      </c>
      <c r="U205" s="854">
        <f>S205*T205</f>
        <v>0</v>
      </c>
    </row>
    <row r="206" spans="1:22" s="89" customFormat="1" ht="15" customHeight="1">
      <c r="A206" s="871"/>
      <c r="B206" s="863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853"/>
      <c r="T206" s="853"/>
      <c r="U206" s="855"/>
    </row>
    <row r="207" spans="1:22" s="89" customFormat="1" ht="15" customHeight="1">
      <c r="A207" s="870" t="s">
        <v>296</v>
      </c>
      <c r="B207" s="863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202"/>
      <c r="S207" s="869">
        <f>SUM(C207:R208)</f>
        <v>0</v>
      </c>
      <c r="T207" s="852">
        <v>72500</v>
      </c>
      <c r="U207" s="854">
        <f>S207*T207</f>
        <v>0</v>
      </c>
    </row>
    <row r="208" spans="1:22" s="89" customFormat="1" ht="15" customHeight="1">
      <c r="A208" s="871"/>
      <c r="B208" s="863"/>
      <c r="C208" s="180"/>
      <c r="D208" s="180"/>
      <c r="E208" s="180"/>
      <c r="F208" s="180"/>
      <c r="G208" s="180"/>
      <c r="H208" s="180"/>
      <c r="I208" s="210"/>
      <c r="J208" s="180"/>
      <c r="K208" s="180"/>
      <c r="L208" s="180"/>
      <c r="M208" s="180"/>
      <c r="N208" s="180"/>
      <c r="O208" s="180"/>
      <c r="P208" s="180"/>
      <c r="Q208" s="210"/>
      <c r="R208" s="180"/>
      <c r="S208" s="858"/>
      <c r="T208" s="853"/>
      <c r="U208" s="855"/>
    </row>
    <row r="209" spans="1:21" s="89" customFormat="1" ht="15" customHeight="1">
      <c r="A209" s="870" t="s">
        <v>297</v>
      </c>
      <c r="B209" s="863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210"/>
      <c r="Q209" s="180"/>
      <c r="R209" s="202"/>
      <c r="S209" s="869">
        <f>SUM(C209:R210)</f>
        <v>0</v>
      </c>
      <c r="T209" s="852">
        <v>50000</v>
      </c>
      <c r="U209" s="854">
        <f>S209*T209</f>
        <v>0</v>
      </c>
    </row>
    <row r="210" spans="1:21" s="89" customFormat="1" ht="15" customHeight="1">
      <c r="A210" s="871"/>
      <c r="B210" s="865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858"/>
      <c r="T210" s="853"/>
      <c r="U210" s="855"/>
    </row>
    <row r="211" spans="1:21" s="89" customFormat="1" ht="15" customHeight="1">
      <c r="A211" s="870" t="s">
        <v>287</v>
      </c>
      <c r="B211" s="868" t="s">
        <v>286</v>
      </c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202"/>
      <c r="S211" s="852">
        <f>SUM(C211:R212)</f>
        <v>0</v>
      </c>
      <c r="T211" s="852">
        <v>30000</v>
      </c>
      <c r="U211" s="854">
        <f>S211*T211</f>
        <v>0</v>
      </c>
    </row>
    <row r="212" spans="1:21" s="89" customFormat="1" ht="15" customHeight="1">
      <c r="A212" s="871"/>
      <c r="B212" s="863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201"/>
      <c r="S212" s="853"/>
      <c r="T212" s="853"/>
      <c r="U212" s="855"/>
    </row>
    <row r="213" spans="1:21" s="89" customFormat="1" ht="15" customHeight="1">
      <c r="A213" s="870" t="s">
        <v>304</v>
      </c>
      <c r="B213" s="863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202"/>
      <c r="S213" s="852">
        <f>SUM(C213:R214)</f>
        <v>0</v>
      </c>
      <c r="T213" s="852">
        <v>5000</v>
      </c>
      <c r="U213" s="854">
        <f>S213*T213</f>
        <v>0</v>
      </c>
    </row>
    <row r="214" spans="1:21" s="89" customFormat="1" ht="15" customHeight="1">
      <c r="A214" s="871"/>
      <c r="B214" s="863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853"/>
      <c r="T214" s="853"/>
      <c r="U214" s="855"/>
    </row>
    <row r="215" spans="1:21" s="89" customFormat="1" ht="15" customHeight="1">
      <c r="A215" s="870" t="s">
        <v>301</v>
      </c>
      <c r="B215" s="863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202"/>
      <c r="S215" s="852">
        <f>SUM(C215:R216)</f>
        <v>0</v>
      </c>
      <c r="T215" s="852">
        <v>540</v>
      </c>
      <c r="U215" s="854">
        <f>S215*T215</f>
        <v>0</v>
      </c>
    </row>
    <row r="216" spans="1:21" s="89" customFormat="1" ht="15" customHeight="1">
      <c r="A216" s="871"/>
      <c r="B216" s="863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853"/>
      <c r="T216" s="853"/>
      <c r="U216" s="855"/>
    </row>
    <row r="217" spans="1:21" s="89" customFormat="1" ht="15" customHeight="1">
      <c r="A217" s="870" t="s">
        <v>202</v>
      </c>
      <c r="B217" s="863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202"/>
      <c r="S217" s="852">
        <f>SUM(C217:R218)</f>
        <v>0</v>
      </c>
      <c r="T217" s="852">
        <v>4500</v>
      </c>
      <c r="U217" s="854">
        <f>S217*T217</f>
        <v>0</v>
      </c>
    </row>
    <row r="218" spans="1:21" s="89" customFormat="1" ht="15" customHeight="1">
      <c r="A218" s="871"/>
      <c r="B218" s="865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853"/>
      <c r="T218" s="853"/>
      <c r="U218" s="855"/>
    </row>
    <row r="219" spans="1:21" s="89" customFormat="1" ht="15" customHeight="1">
      <c r="A219" s="870" t="s">
        <v>300</v>
      </c>
      <c r="B219" s="868" t="s">
        <v>290</v>
      </c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202"/>
      <c r="S219" s="852">
        <f>SUM(C219:R220)</f>
        <v>0</v>
      </c>
      <c r="T219" s="852">
        <v>20000</v>
      </c>
      <c r="U219" s="854">
        <f>S219*T219</f>
        <v>0</v>
      </c>
    </row>
    <row r="220" spans="1:21" s="89" customFormat="1" ht="15" customHeight="1">
      <c r="A220" s="871"/>
      <c r="B220" s="865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209"/>
      <c r="S220" s="853"/>
      <c r="T220" s="853"/>
      <c r="U220" s="855"/>
    </row>
    <row r="221" spans="1:21" s="96" customFormat="1" ht="15" customHeight="1">
      <c r="A221" s="868" t="s">
        <v>122</v>
      </c>
      <c r="B221" s="868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852"/>
      <c r="T221" s="859"/>
      <c r="U221" s="854">
        <f>SUM(U203:U220)</f>
        <v>0</v>
      </c>
    </row>
    <row r="222" spans="1:21" s="96" customFormat="1" ht="15" customHeight="1">
      <c r="A222" s="865"/>
      <c r="B222" s="865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853"/>
      <c r="T222" s="860"/>
      <c r="U222" s="855"/>
    </row>
    <row r="223" spans="1:21" s="96" customFormat="1" ht="13.5" customHeight="1">
      <c r="A223" s="868" t="s">
        <v>268</v>
      </c>
      <c r="B223" s="868" t="s">
        <v>267</v>
      </c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202"/>
      <c r="S223" s="852">
        <f>SUM(C223:R224)</f>
        <v>0</v>
      </c>
      <c r="T223" s="859">
        <v>16000</v>
      </c>
      <c r="U223" s="859">
        <f>S223*T223</f>
        <v>0</v>
      </c>
    </row>
    <row r="224" spans="1:21" s="96" customFormat="1" ht="13.5" customHeight="1">
      <c r="A224" s="863"/>
      <c r="B224" s="863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202"/>
      <c r="S224" s="853"/>
      <c r="T224" s="860"/>
      <c r="U224" s="860"/>
    </row>
    <row r="225" spans="1:22" ht="15" customHeight="1">
      <c r="A225" s="868" t="s">
        <v>227</v>
      </c>
      <c r="B225" s="863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202"/>
      <c r="S225" s="852">
        <f>SUM(C225:R226)</f>
        <v>0</v>
      </c>
      <c r="T225" s="859">
        <f>21600/1.62</f>
        <v>13333.333333333332</v>
      </c>
      <c r="U225" s="859">
        <f>S225*T225</f>
        <v>0</v>
      </c>
    </row>
    <row r="226" spans="1:22" ht="15" customHeight="1">
      <c r="A226" s="863"/>
      <c r="B226" s="863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202"/>
      <c r="S226" s="853"/>
      <c r="T226" s="860"/>
      <c r="U226" s="860"/>
      <c r="V226" s="99" t="e">
        <f>#REF!*#REF!</f>
        <v>#REF!</v>
      </c>
    </row>
    <row r="227" spans="1:22" s="96" customFormat="1" ht="13.5" customHeight="1">
      <c r="A227" s="868" t="s">
        <v>291</v>
      </c>
      <c r="B227" s="863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202"/>
      <c r="S227" s="852">
        <f>SUM(C227:R228)</f>
        <v>0</v>
      </c>
      <c r="T227" s="859">
        <f>1700/1.62</f>
        <v>1049.3827160493827</v>
      </c>
      <c r="U227" s="859">
        <f>S227*T227</f>
        <v>0</v>
      </c>
    </row>
    <row r="228" spans="1:22" s="96" customFormat="1" ht="13.5" customHeight="1">
      <c r="A228" s="863"/>
      <c r="B228" s="863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202"/>
      <c r="S228" s="853"/>
      <c r="T228" s="860"/>
      <c r="U228" s="860"/>
    </row>
    <row r="229" spans="1:22" s="96" customFormat="1" ht="13.5" customHeight="1">
      <c r="A229" s="868" t="s">
        <v>292</v>
      </c>
      <c r="B229" s="863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202"/>
      <c r="S229" s="852">
        <f>SUM(C229:R230)</f>
        <v>0</v>
      </c>
      <c r="T229" s="859">
        <f>4800/1.62</f>
        <v>2962.9629629629626</v>
      </c>
      <c r="U229" s="859">
        <f>S229*T229</f>
        <v>0</v>
      </c>
    </row>
    <row r="230" spans="1:22" s="96" customFormat="1" ht="13.5" customHeight="1">
      <c r="A230" s="863"/>
      <c r="B230" s="863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202"/>
      <c r="S230" s="853"/>
      <c r="T230" s="860"/>
      <c r="U230" s="860"/>
    </row>
    <row r="231" spans="1:22" s="96" customFormat="1" ht="13.5" customHeight="1">
      <c r="A231" s="868" t="s">
        <v>288</v>
      </c>
      <c r="B231" s="863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202"/>
      <c r="S231" s="852">
        <f>SUM(C231:R232)</f>
        <v>0</v>
      </c>
      <c r="T231" s="859">
        <f>8000/1.62</f>
        <v>4938.2716049382716</v>
      </c>
      <c r="U231" s="859">
        <f>S231*T231</f>
        <v>0</v>
      </c>
    </row>
    <row r="232" spans="1:22" s="96" customFormat="1" ht="13.5" customHeight="1">
      <c r="A232" s="863"/>
      <c r="B232" s="863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202"/>
      <c r="S232" s="853"/>
      <c r="T232" s="860"/>
      <c r="U232" s="860"/>
    </row>
    <row r="233" spans="1:22" s="96" customFormat="1" ht="13.5" customHeight="1">
      <c r="A233" s="868" t="s">
        <v>299</v>
      </c>
      <c r="B233" s="863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202"/>
      <c r="S233" s="852">
        <f>SUM(C233:R234)</f>
        <v>0</v>
      </c>
      <c r="T233" s="859">
        <f>9600/1.62</f>
        <v>5925.9259259259252</v>
      </c>
      <c r="U233" s="859">
        <f>S233*T233</f>
        <v>0</v>
      </c>
    </row>
    <row r="234" spans="1:22" s="96" customFormat="1" ht="13.5" customHeight="1">
      <c r="A234" s="863"/>
      <c r="B234" s="863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202"/>
      <c r="S234" s="853"/>
      <c r="T234" s="860"/>
      <c r="U234" s="860"/>
    </row>
    <row r="235" spans="1:22" s="96" customFormat="1" ht="13.5" customHeight="1">
      <c r="A235" s="868" t="s">
        <v>293</v>
      </c>
      <c r="B235" s="863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202"/>
      <c r="S235" s="852">
        <f>SUM(C235:R236)</f>
        <v>0</v>
      </c>
      <c r="T235" s="859">
        <f>11200/1.62</f>
        <v>6913.5802469135797</v>
      </c>
      <c r="U235" s="859">
        <f>S235*T235</f>
        <v>0</v>
      </c>
    </row>
    <row r="236" spans="1:22" s="96" customFormat="1" ht="13.5" customHeight="1">
      <c r="A236" s="863"/>
      <c r="B236" s="863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202"/>
      <c r="S236" s="853"/>
      <c r="T236" s="860"/>
      <c r="U236" s="860"/>
    </row>
    <row r="237" spans="1:22" ht="15" customHeight="1">
      <c r="A237" s="868" t="s">
        <v>294</v>
      </c>
      <c r="B237" s="863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202"/>
      <c r="S237" s="852">
        <f>SUM(C237:R238)</f>
        <v>0</v>
      </c>
      <c r="T237" s="859">
        <f>14400/1.62</f>
        <v>8888.8888888888887</v>
      </c>
      <c r="U237" s="859">
        <f>S237*T237</f>
        <v>0</v>
      </c>
    </row>
    <row r="238" spans="1:22" ht="15" customHeight="1">
      <c r="A238" s="863"/>
      <c r="B238" s="865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202"/>
      <c r="S238" s="853"/>
      <c r="T238" s="860"/>
      <c r="U238" s="860"/>
      <c r="V238" s="99" t="e">
        <f>#REF!*#REF!</f>
        <v>#REF!</v>
      </c>
    </row>
    <row r="239" spans="1:22" s="89" customFormat="1" ht="15" customHeight="1">
      <c r="A239" s="868" t="s">
        <v>122</v>
      </c>
      <c r="B239" s="868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852"/>
      <c r="T239" s="859"/>
      <c r="U239" s="859">
        <f>SUM(U223:U238)</f>
        <v>0</v>
      </c>
    </row>
    <row r="240" spans="1:22" ht="12" customHeight="1">
      <c r="A240" s="865"/>
      <c r="B240" s="865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853"/>
      <c r="T240" s="860"/>
      <c r="U240" s="860"/>
    </row>
    <row r="241" spans="1:21">
      <c r="A241" s="874" t="s">
        <v>214</v>
      </c>
      <c r="B241" s="863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200"/>
      <c r="S241" s="867">
        <f>SUM(C241:R242)</f>
        <v>0</v>
      </c>
      <c r="T241" s="867"/>
      <c r="U241" s="854">
        <f>S241*T241</f>
        <v>0</v>
      </c>
    </row>
    <row r="242" spans="1:21">
      <c r="A242" s="873"/>
      <c r="B242" s="863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201"/>
      <c r="S242" s="853"/>
      <c r="T242" s="853"/>
      <c r="U242" s="855"/>
    </row>
    <row r="243" spans="1:21">
      <c r="A243" s="872" t="s">
        <v>218</v>
      </c>
      <c r="B243" s="868"/>
      <c r="C243" s="211"/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2"/>
      <c r="S243" s="852">
        <f>SUM(C243:R244)</f>
        <v>0</v>
      </c>
      <c r="T243" s="852"/>
      <c r="U243" s="854">
        <f>S243*T243</f>
        <v>0</v>
      </c>
    </row>
    <row r="244" spans="1:21">
      <c r="A244" s="873"/>
      <c r="B244" s="863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853"/>
      <c r="T244" s="853"/>
      <c r="U244" s="855"/>
    </row>
    <row r="245" spans="1:21" ht="16.5">
      <c r="A245" s="875" t="s">
        <v>1</v>
      </c>
      <c r="B245" s="876"/>
      <c r="C245" s="876"/>
      <c r="D245" s="876"/>
      <c r="E245" s="876"/>
      <c r="F245" s="876"/>
      <c r="G245" s="876"/>
      <c r="H245" s="876"/>
      <c r="I245" s="876"/>
      <c r="J245" s="876"/>
      <c r="K245" s="876"/>
      <c r="L245" s="876"/>
      <c r="M245" s="876"/>
      <c r="N245" s="876"/>
      <c r="O245" s="876"/>
      <c r="P245" s="876"/>
      <c r="Q245" s="876"/>
      <c r="R245" s="876"/>
      <c r="S245" s="876"/>
      <c r="T245" s="858"/>
      <c r="U245" s="169">
        <f>U239+U221+U201+U141+U135+U45+U119</f>
        <v>213342920</v>
      </c>
    </row>
    <row r="247" spans="1:21">
      <c r="U247" s="167">
        <v>192062920</v>
      </c>
    </row>
  </sheetData>
  <mergeCells count="430">
    <mergeCell ref="U193:U194"/>
    <mergeCell ref="S177:S178"/>
    <mergeCell ref="T189:T190"/>
    <mergeCell ref="U169:U170"/>
    <mergeCell ref="U171:U172"/>
    <mergeCell ref="U175:U176"/>
    <mergeCell ref="U173:U174"/>
    <mergeCell ref="U157:U158"/>
    <mergeCell ref="U159:U160"/>
    <mergeCell ref="T157:T158"/>
    <mergeCell ref="T159:T160"/>
    <mergeCell ref="S175:S176"/>
    <mergeCell ref="T161:T162"/>
    <mergeCell ref="T163:T164"/>
    <mergeCell ref="T165:T166"/>
    <mergeCell ref="U167:U168"/>
    <mergeCell ref="U165:U166"/>
    <mergeCell ref="U161:U162"/>
    <mergeCell ref="S161:S162"/>
    <mergeCell ref="S163:S164"/>
    <mergeCell ref="S223:S224"/>
    <mergeCell ref="T223:T224"/>
    <mergeCell ref="U221:U222"/>
    <mergeCell ref="S221:S222"/>
    <mergeCell ref="T215:T216"/>
    <mergeCell ref="T217:T218"/>
    <mergeCell ref="U201:U202"/>
    <mergeCell ref="U195:U196"/>
    <mergeCell ref="S197:S198"/>
    <mergeCell ref="U199:U200"/>
    <mergeCell ref="U219:U220"/>
    <mergeCell ref="S211:S212"/>
    <mergeCell ref="S219:S220"/>
    <mergeCell ref="T219:T220"/>
    <mergeCell ref="T213:T214"/>
    <mergeCell ref="U207:U208"/>
    <mergeCell ref="U203:U204"/>
    <mergeCell ref="S203:S204"/>
    <mergeCell ref="T201:T202"/>
    <mergeCell ref="T197:T198"/>
    <mergeCell ref="U197:U198"/>
    <mergeCell ref="U243:U244"/>
    <mergeCell ref="S239:S240"/>
    <mergeCell ref="T239:T240"/>
    <mergeCell ref="U239:U240"/>
    <mergeCell ref="U225:U226"/>
    <mergeCell ref="U223:U224"/>
    <mergeCell ref="U237:U238"/>
    <mergeCell ref="U229:U230"/>
    <mergeCell ref="T237:T238"/>
    <mergeCell ref="T241:T242"/>
    <mergeCell ref="T225:T226"/>
    <mergeCell ref="T235:T236"/>
    <mergeCell ref="U235:U236"/>
    <mergeCell ref="U241:U242"/>
    <mergeCell ref="T227:T228"/>
    <mergeCell ref="S233:S234"/>
    <mergeCell ref="T233:T234"/>
    <mergeCell ref="U233:U234"/>
    <mergeCell ref="S225:S226"/>
    <mergeCell ref="S235:S236"/>
    <mergeCell ref="S231:S232"/>
    <mergeCell ref="U227:U228"/>
    <mergeCell ref="U231:U232"/>
    <mergeCell ref="T231:T232"/>
    <mergeCell ref="A245:T245"/>
    <mergeCell ref="A243:A244"/>
    <mergeCell ref="B243:B244"/>
    <mergeCell ref="S243:S244"/>
    <mergeCell ref="T243:T244"/>
    <mergeCell ref="B211:B218"/>
    <mergeCell ref="A241:A242"/>
    <mergeCell ref="B241:B242"/>
    <mergeCell ref="S241:S242"/>
    <mergeCell ref="T229:T230"/>
    <mergeCell ref="A239:A240"/>
    <mergeCell ref="B239:B240"/>
    <mergeCell ref="A237:A238"/>
    <mergeCell ref="S237:S238"/>
    <mergeCell ref="A229:A230"/>
    <mergeCell ref="S229:S230"/>
    <mergeCell ref="B223:B238"/>
    <mergeCell ref="A225:A226"/>
    <mergeCell ref="A227:A228"/>
    <mergeCell ref="A233:A234"/>
    <mergeCell ref="A235:A236"/>
    <mergeCell ref="A231:A232"/>
    <mergeCell ref="A223:A224"/>
    <mergeCell ref="S227:S228"/>
    <mergeCell ref="S129:S130"/>
    <mergeCell ref="T129:T130"/>
    <mergeCell ref="T131:T132"/>
    <mergeCell ref="T137:T138"/>
    <mergeCell ref="B221:B222"/>
    <mergeCell ref="A213:A214"/>
    <mergeCell ref="A219:A220"/>
    <mergeCell ref="T211:T212"/>
    <mergeCell ref="B203:B210"/>
    <mergeCell ref="A203:A204"/>
    <mergeCell ref="T203:T204"/>
    <mergeCell ref="A207:A208"/>
    <mergeCell ref="A221:A222"/>
    <mergeCell ref="T205:T206"/>
    <mergeCell ref="S205:S206"/>
    <mergeCell ref="T207:T208"/>
    <mergeCell ref="T221:T222"/>
    <mergeCell ref="T209:T210"/>
    <mergeCell ref="S207:S208"/>
    <mergeCell ref="A209:A210"/>
    <mergeCell ref="S213:S214"/>
    <mergeCell ref="T169:T170"/>
    <mergeCell ref="T175:T176"/>
    <mergeCell ref="S185:S186"/>
    <mergeCell ref="T133:T134"/>
    <mergeCell ref="S143:S144"/>
    <mergeCell ref="T151:T152"/>
    <mergeCell ref="B143:B176"/>
    <mergeCell ref="B137:B138"/>
    <mergeCell ref="S159:S160"/>
    <mergeCell ref="S137:S138"/>
    <mergeCell ref="T153:T154"/>
    <mergeCell ref="T149:T150"/>
    <mergeCell ref="T143:T144"/>
    <mergeCell ref="T147:T148"/>
    <mergeCell ref="S149:S150"/>
    <mergeCell ref="T173:T174"/>
    <mergeCell ref="B139:B140"/>
    <mergeCell ref="S135:S136"/>
    <mergeCell ref="T167:T168"/>
    <mergeCell ref="S169:S170"/>
    <mergeCell ref="S171:S172"/>
    <mergeCell ref="T171:T172"/>
    <mergeCell ref="A191:A192"/>
    <mergeCell ref="B191:B192"/>
    <mergeCell ref="S191:S192"/>
    <mergeCell ref="A195:A196"/>
    <mergeCell ref="A193:A194"/>
    <mergeCell ref="S201:S202"/>
    <mergeCell ref="A197:A198"/>
    <mergeCell ref="S193:S194"/>
    <mergeCell ref="A201:A202"/>
    <mergeCell ref="B201:B202"/>
    <mergeCell ref="S199:S200"/>
    <mergeCell ref="A199:A200"/>
    <mergeCell ref="B193:B200"/>
    <mergeCell ref="A205:A206"/>
    <mergeCell ref="B219:B220"/>
    <mergeCell ref="A215:A216"/>
    <mergeCell ref="S217:S218"/>
    <mergeCell ref="S209:S210"/>
    <mergeCell ref="A211:A212"/>
    <mergeCell ref="A217:A218"/>
    <mergeCell ref="U215:U216"/>
    <mergeCell ref="U209:U210"/>
    <mergeCell ref="U213:U214"/>
    <mergeCell ref="B177:B182"/>
    <mergeCell ref="T195:T196"/>
    <mergeCell ref="S195:S196"/>
    <mergeCell ref="U205:U206"/>
    <mergeCell ref="U217:U218"/>
    <mergeCell ref="U211:U212"/>
    <mergeCell ref="S215:S216"/>
    <mergeCell ref="T199:T200"/>
    <mergeCell ref="T193:T194"/>
    <mergeCell ref="U177:U178"/>
    <mergeCell ref="T191:T192"/>
    <mergeCell ref="U191:U192"/>
    <mergeCell ref="U183:U184"/>
    <mergeCell ref="T185:T186"/>
    <mergeCell ref="T177:T178"/>
    <mergeCell ref="T181:T182"/>
    <mergeCell ref="U181:U182"/>
    <mergeCell ref="T179:T180"/>
    <mergeCell ref="T187:T188"/>
    <mergeCell ref="S181:S182"/>
    <mergeCell ref="S189:S190"/>
    <mergeCell ref="S179:S180"/>
    <mergeCell ref="U187:U188"/>
    <mergeCell ref="S183:S184"/>
    <mergeCell ref="T123:T124"/>
    <mergeCell ref="T117:T118"/>
    <mergeCell ref="S71:S72"/>
    <mergeCell ref="T71:T72"/>
    <mergeCell ref="S125:S126"/>
    <mergeCell ref="T109:T110"/>
    <mergeCell ref="B119:B120"/>
    <mergeCell ref="T67:T68"/>
    <mergeCell ref="T75:T76"/>
    <mergeCell ref="T111:T112"/>
    <mergeCell ref="S111:S112"/>
    <mergeCell ref="T83:T84"/>
    <mergeCell ref="B79:B92"/>
    <mergeCell ref="T89:T90"/>
    <mergeCell ref="S99:S100"/>
    <mergeCell ref="S95:S96"/>
    <mergeCell ref="S87:S88"/>
    <mergeCell ref="S103:S104"/>
    <mergeCell ref="T103:T104"/>
    <mergeCell ref="B121:B128"/>
    <mergeCell ref="S79:S80"/>
    <mergeCell ref="S127:S128"/>
    <mergeCell ref="S77:S78"/>
    <mergeCell ref="T77:T78"/>
    <mergeCell ref="A141:A142"/>
    <mergeCell ref="B141:B142"/>
    <mergeCell ref="S153:S154"/>
    <mergeCell ref="S187:S188"/>
    <mergeCell ref="S167:S168"/>
    <mergeCell ref="A45:A46"/>
    <mergeCell ref="B45:B46"/>
    <mergeCell ref="B47:B62"/>
    <mergeCell ref="S139:S140"/>
    <mergeCell ref="S157:S158"/>
    <mergeCell ref="S123:S124"/>
    <mergeCell ref="A135:A136"/>
    <mergeCell ref="B135:B136"/>
    <mergeCell ref="S141:S142"/>
    <mergeCell ref="A65:A66"/>
    <mergeCell ref="S93:S94"/>
    <mergeCell ref="B77:B78"/>
    <mergeCell ref="B67:B74"/>
    <mergeCell ref="S67:S68"/>
    <mergeCell ref="A119:A120"/>
    <mergeCell ref="A63:A64"/>
    <mergeCell ref="B129:B134"/>
    <mergeCell ref="S131:S132"/>
    <mergeCell ref="S133:S134"/>
    <mergeCell ref="T41:T42"/>
    <mergeCell ref="S35:S36"/>
    <mergeCell ref="T39:T40"/>
    <mergeCell ref="T35:T36"/>
    <mergeCell ref="S33:S34"/>
    <mergeCell ref="U17:U18"/>
    <mergeCell ref="U37:U38"/>
    <mergeCell ref="U35:U36"/>
    <mergeCell ref="T15:T16"/>
    <mergeCell ref="U27:U28"/>
    <mergeCell ref="S29:S30"/>
    <mergeCell ref="T29:T30"/>
    <mergeCell ref="U15:U16"/>
    <mergeCell ref="U31:U32"/>
    <mergeCell ref="T31:T32"/>
    <mergeCell ref="T25:T26"/>
    <mergeCell ref="U25:U26"/>
    <mergeCell ref="S31:S32"/>
    <mergeCell ref="S27:S28"/>
    <mergeCell ref="U29:U30"/>
    <mergeCell ref="U33:U34"/>
    <mergeCell ref="T23:T24"/>
    <mergeCell ref="U23:U24"/>
    <mergeCell ref="S25:S26"/>
    <mergeCell ref="U11:U12"/>
    <mergeCell ref="T13:T14"/>
    <mergeCell ref="U13:U14"/>
    <mergeCell ref="U109:U110"/>
    <mergeCell ref="U93:U94"/>
    <mergeCell ref="T95:T96"/>
    <mergeCell ref="U95:U96"/>
    <mergeCell ref="B63:B64"/>
    <mergeCell ref="S109:S110"/>
    <mergeCell ref="S83:S84"/>
    <mergeCell ref="S107:S108"/>
    <mergeCell ref="S101:S102"/>
    <mergeCell ref="T101:T102"/>
    <mergeCell ref="U19:U20"/>
    <mergeCell ref="S19:S20"/>
    <mergeCell ref="T19:T20"/>
    <mergeCell ref="S21:S22"/>
    <mergeCell ref="T21:T22"/>
    <mergeCell ref="U21:U22"/>
    <mergeCell ref="U41:U42"/>
    <mergeCell ref="U39:U40"/>
    <mergeCell ref="S37:S38"/>
    <mergeCell ref="T37:T38"/>
    <mergeCell ref="T33:T34"/>
    <mergeCell ref="A1:U1"/>
    <mergeCell ref="A4:A6"/>
    <mergeCell ref="B4:B6"/>
    <mergeCell ref="C4:R4"/>
    <mergeCell ref="S4:S6"/>
    <mergeCell ref="T4:T6"/>
    <mergeCell ref="U4:U6"/>
    <mergeCell ref="B31:B36"/>
    <mergeCell ref="S17:S18"/>
    <mergeCell ref="S23:S24"/>
    <mergeCell ref="T17:T18"/>
    <mergeCell ref="S9:S10"/>
    <mergeCell ref="T9:T10"/>
    <mergeCell ref="S13:S14"/>
    <mergeCell ref="B19:B30"/>
    <mergeCell ref="T27:T28"/>
    <mergeCell ref="S15:S16"/>
    <mergeCell ref="S7:S8"/>
    <mergeCell ref="T7:T8"/>
    <mergeCell ref="U7:U8"/>
    <mergeCell ref="B7:B18"/>
    <mergeCell ref="T11:T12"/>
    <mergeCell ref="S11:S12"/>
    <mergeCell ref="U9:U10"/>
    <mergeCell ref="T91:T92"/>
    <mergeCell ref="U91:U92"/>
    <mergeCell ref="S89:S90"/>
    <mergeCell ref="U43:U44"/>
    <mergeCell ref="U87:U88"/>
    <mergeCell ref="U69:U70"/>
    <mergeCell ref="T69:T70"/>
    <mergeCell ref="S47:S48"/>
    <mergeCell ref="U57:U58"/>
    <mergeCell ref="U51:U52"/>
    <mergeCell ref="T87:T88"/>
    <mergeCell ref="S45:S46"/>
    <mergeCell ref="T45:T46"/>
    <mergeCell ref="S73:S74"/>
    <mergeCell ref="S69:S70"/>
    <mergeCell ref="S65:S66"/>
    <mergeCell ref="T73:T74"/>
    <mergeCell ref="T63:T64"/>
    <mergeCell ref="S63:S64"/>
    <mergeCell ref="U85:U86"/>
    <mergeCell ref="U77:U78"/>
    <mergeCell ref="U75:U76"/>
    <mergeCell ref="U83:U84"/>
    <mergeCell ref="T81:T82"/>
    <mergeCell ref="B37:B42"/>
    <mergeCell ref="B105:B110"/>
    <mergeCell ref="S105:S106"/>
    <mergeCell ref="T105:T106"/>
    <mergeCell ref="S39:S40"/>
    <mergeCell ref="S97:S98"/>
    <mergeCell ref="T97:T98"/>
    <mergeCell ref="B43:B44"/>
    <mergeCell ref="T107:T108"/>
    <mergeCell ref="T59:T60"/>
    <mergeCell ref="S41:S42"/>
    <mergeCell ref="T65:T66"/>
    <mergeCell ref="T85:T86"/>
    <mergeCell ref="S85:S86"/>
    <mergeCell ref="T55:T56"/>
    <mergeCell ref="T53:T54"/>
    <mergeCell ref="S57:S58"/>
    <mergeCell ref="S81:S82"/>
    <mergeCell ref="T43:T44"/>
    <mergeCell ref="S55:S56"/>
    <mergeCell ref="T49:T50"/>
    <mergeCell ref="T47:T48"/>
    <mergeCell ref="S43:S44"/>
    <mergeCell ref="T61:T62"/>
    <mergeCell ref="T79:T80"/>
    <mergeCell ref="T51:T52"/>
    <mergeCell ref="U47:U48"/>
    <mergeCell ref="S49:S50"/>
    <mergeCell ref="U49:U50"/>
    <mergeCell ref="U71:U72"/>
    <mergeCell ref="U65:U66"/>
    <mergeCell ref="U67:U68"/>
    <mergeCell ref="U79:U80"/>
    <mergeCell ref="S53:S54"/>
    <mergeCell ref="S51:S52"/>
    <mergeCell ref="U45:U46"/>
    <mergeCell ref="U81:U82"/>
    <mergeCell ref="S59:S60"/>
    <mergeCell ref="S165:S166"/>
    <mergeCell ref="S173:S174"/>
    <mergeCell ref="T155:T156"/>
    <mergeCell ref="U155:U156"/>
    <mergeCell ref="U163:U164"/>
    <mergeCell ref="U73:U74"/>
    <mergeCell ref="U103:U104"/>
    <mergeCell ref="U107:U108"/>
    <mergeCell ref="U89:U90"/>
    <mergeCell ref="S91:S92"/>
    <mergeCell ref="U97:U98"/>
    <mergeCell ref="U101:U102"/>
    <mergeCell ref="U99:U100"/>
    <mergeCell ref="T99:T100"/>
    <mergeCell ref="T93:T94"/>
    <mergeCell ref="U111:U112"/>
    <mergeCell ref="U117:U118"/>
    <mergeCell ref="S121:S122"/>
    <mergeCell ref="U119:U120"/>
    <mergeCell ref="U113:U114"/>
    <mergeCell ref="S115:S116"/>
    <mergeCell ref="T115:T116"/>
    <mergeCell ref="U115:U116"/>
    <mergeCell ref="U53:U54"/>
    <mergeCell ref="T57:T58"/>
    <mergeCell ref="U59:U60"/>
    <mergeCell ref="U189:U190"/>
    <mergeCell ref="T183:T184"/>
    <mergeCell ref="U143:U144"/>
    <mergeCell ref="T145:T146"/>
    <mergeCell ref="U145:U146"/>
    <mergeCell ref="U185:U186"/>
    <mergeCell ref="U153:U154"/>
    <mergeCell ref="U179:U180"/>
    <mergeCell ref="U55:U56"/>
    <mergeCell ref="T113:T114"/>
    <mergeCell ref="U151:U152"/>
    <mergeCell ref="T141:T142"/>
    <mergeCell ref="T139:T140"/>
    <mergeCell ref="U121:U122"/>
    <mergeCell ref="U123:U124"/>
    <mergeCell ref="U135:U136"/>
    <mergeCell ref="U133:U134"/>
    <mergeCell ref="T135:T136"/>
    <mergeCell ref="U137:U138"/>
    <mergeCell ref="T127:T128"/>
    <mergeCell ref="U147:U148"/>
    <mergeCell ref="U149:U150"/>
    <mergeCell ref="S151:S152"/>
    <mergeCell ref="S155:S156"/>
    <mergeCell ref="U63:U64"/>
    <mergeCell ref="S75:S76"/>
    <mergeCell ref="U61:U62"/>
    <mergeCell ref="S145:S146"/>
    <mergeCell ref="S147:S148"/>
    <mergeCell ref="U105:U106"/>
    <mergeCell ref="S61:S62"/>
    <mergeCell ref="S119:S120"/>
    <mergeCell ref="S113:S114"/>
    <mergeCell ref="U125:U126"/>
    <mergeCell ref="U141:U142"/>
    <mergeCell ref="U139:U140"/>
    <mergeCell ref="U129:U130"/>
    <mergeCell ref="T125:T126"/>
    <mergeCell ref="U131:U132"/>
    <mergeCell ref="T121:T122"/>
    <mergeCell ref="U127:U128"/>
    <mergeCell ref="S117:S118"/>
    <mergeCell ref="T119:T120"/>
  </mergeCells>
  <phoneticPr fontId="5" type="noConversion"/>
  <printOptions horizontalCentered="1"/>
  <pageMargins left="0.35433070866141736" right="0.19685039370078741" top="0.43307086614173229" bottom="0.19685039370078741" header="0.19685039370078741" footer="0.31496062992125984"/>
  <pageSetup paperSize="9" scale="66" orientation="landscape" r:id="rId1"/>
  <rowBreaks count="1" manualBreakCount="1">
    <brk id="202" max="20" man="1"/>
  </rowBreaks>
  <ignoredErrors>
    <ignoredError sqref="U243:U244 U111:U120 U46:U64 U193:U202 U79:U80 U66:U7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O44"/>
  <sheetViews>
    <sheetView workbookViewId="0">
      <selection sqref="A1:D2"/>
    </sheetView>
  </sheetViews>
  <sheetFormatPr defaultRowHeight="16.5"/>
  <cols>
    <col min="1" max="1" width="15" style="80" customWidth="1"/>
    <col min="2" max="2" width="18.375" style="225" customWidth="1"/>
    <col min="3" max="3" width="17.875" style="225" customWidth="1"/>
    <col min="4" max="4" width="22.375" style="225" customWidth="1"/>
    <col min="5" max="5" width="20.5" style="225" customWidth="1"/>
    <col min="6" max="6" width="11.875" style="225" customWidth="1"/>
    <col min="7" max="7" width="6.125" style="225" customWidth="1"/>
    <col min="8" max="8" width="4.625" style="225" customWidth="1"/>
    <col min="9" max="9" width="14.25" style="225" customWidth="1"/>
    <col min="10" max="10" width="12" style="225" customWidth="1"/>
    <col min="11" max="11" width="13.25" style="225" customWidth="1"/>
    <col min="12" max="12" width="10.625" style="225" customWidth="1"/>
    <col min="13" max="13" width="9" style="225"/>
    <col min="14" max="14" width="10.375" style="225" customWidth="1"/>
    <col min="15" max="16384" width="9" style="225"/>
  </cols>
  <sheetData>
    <row r="1" spans="1:15" ht="26.25" customHeight="1">
      <c r="A1" s="877" t="s">
        <v>387</v>
      </c>
      <c r="B1" s="877"/>
      <c r="C1" s="877"/>
      <c r="D1" s="877"/>
      <c r="E1" s="174"/>
      <c r="F1" s="151"/>
      <c r="I1" s="858" t="s">
        <v>222</v>
      </c>
      <c r="J1" s="227" t="s">
        <v>223</v>
      </c>
      <c r="K1" s="227" t="s">
        <v>224</v>
      </c>
      <c r="L1" s="227" t="s">
        <v>186</v>
      </c>
      <c r="M1" s="227" t="s">
        <v>200</v>
      </c>
      <c r="N1" s="227" t="s">
        <v>187</v>
      </c>
      <c r="O1" s="227" t="s">
        <v>225</v>
      </c>
    </row>
    <row r="2" spans="1:15" ht="34.5" customHeight="1">
      <c r="A2" s="877"/>
      <c r="B2" s="877"/>
      <c r="C2" s="877"/>
      <c r="D2" s="877"/>
      <c r="E2" s="174"/>
      <c r="F2" s="150"/>
      <c r="I2" s="878"/>
      <c r="J2" s="226"/>
      <c r="K2" s="226"/>
      <c r="L2" s="226"/>
      <c r="M2" s="226"/>
      <c r="N2" s="226"/>
      <c r="O2" s="226"/>
    </row>
    <row r="3" spans="1:15" ht="8.25" customHeight="1">
      <c r="E3" s="150"/>
      <c r="F3" s="150"/>
    </row>
    <row r="4" spans="1:15" ht="20.25" customHeight="1">
      <c r="A4" s="858" t="e">
        <f>#REF!</f>
        <v>#REF!</v>
      </c>
      <c r="B4" s="858"/>
      <c r="C4" s="858"/>
      <c r="D4" s="858"/>
      <c r="E4" s="179"/>
      <c r="F4" s="179"/>
    </row>
    <row r="5" spans="1:15" ht="20.25" customHeight="1">
      <c r="A5" s="879" t="s">
        <v>326</v>
      </c>
      <c r="B5" s="879" t="s">
        <v>241</v>
      </c>
      <c r="C5" s="880" t="s">
        <v>295</v>
      </c>
      <c r="D5" s="879" t="s">
        <v>198</v>
      </c>
      <c r="E5" s="879" t="s">
        <v>242</v>
      </c>
      <c r="F5" s="879" t="s">
        <v>221</v>
      </c>
      <c r="G5" s="162"/>
    </row>
    <row r="6" spans="1:15" ht="20.25" customHeight="1">
      <c r="A6" s="879"/>
      <c r="B6" s="879"/>
      <c r="C6" s="881"/>
      <c r="D6" s="879"/>
      <c r="E6" s="879"/>
      <c r="F6" s="879"/>
      <c r="G6" s="162"/>
    </row>
    <row r="7" spans="1:15" ht="29.25" customHeight="1">
      <c r="A7" s="233"/>
      <c r="B7" s="234"/>
      <c r="C7" s="235"/>
      <c r="D7" s="234"/>
      <c r="E7" s="234"/>
      <c r="F7" s="222"/>
      <c r="G7" s="162"/>
    </row>
    <row r="8" spans="1:15" s="263" customFormat="1" ht="29.25" customHeight="1">
      <c r="A8" s="233"/>
      <c r="B8" s="234"/>
      <c r="C8" s="235"/>
      <c r="D8" s="234"/>
      <c r="E8" s="234"/>
      <c r="F8" s="222"/>
      <c r="G8" s="162"/>
    </row>
    <row r="9" spans="1:15" ht="29.25" customHeight="1">
      <c r="A9" s="233"/>
      <c r="B9" s="234"/>
      <c r="C9" s="235"/>
      <c r="D9" s="234"/>
      <c r="E9" s="234"/>
      <c r="F9" s="218"/>
      <c r="G9" s="162"/>
    </row>
    <row r="10" spans="1:15" ht="29.25" customHeight="1">
      <c r="A10" s="233"/>
      <c r="B10" s="234"/>
      <c r="C10" s="235"/>
      <c r="D10" s="234"/>
      <c r="E10" s="234"/>
      <c r="F10" s="222"/>
      <c r="G10" s="162"/>
    </row>
    <row r="11" spans="1:15" ht="29.25" customHeight="1">
      <c r="A11" s="233"/>
      <c r="B11" s="234"/>
      <c r="C11" s="235"/>
      <c r="D11" s="234"/>
      <c r="E11" s="234"/>
      <c r="F11" s="218"/>
      <c r="G11" s="162"/>
    </row>
    <row r="12" spans="1:15" ht="29.25" customHeight="1">
      <c r="A12" s="233"/>
      <c r="B12" s="236"/>
      <c r="C12" s="237"/>
      <c r="D12" s="262"/>
      <c r="E12" s="236"/>
      <c r="F12" s="218"/>
      <c r="G12" s="162"/>
    </row>
    <row r="13" spans="1:15" ht="29.25" customHeight="1">
      <c r="A13" s="233"/>
      <c r="B13" s="236"/>
      <c r="C13" s="237"/>
      <c r="D13" s="262"/>
      <c r="E13" s="234"/>
      <c r="F13" s="218"/>
      <c r="G13" s="162"/>
    </row>
    <row r="14" spans="1:15" ht="29.25" customHeight="1">
      <c r="A14" s="233"/>
      <c r="B14" s="236"/>
      <c r="C14" s="238"/>
      <c r="D14" s="239"/>
      <c r="E14" s="236"/>
      <c r="F14" s="218"/>
      <c r="G14" s="162"/>
    </row>
    <row r="15" spans="1:15" ht="29.25" customHeight="1">
      <c r="A15" s="233"/>
      <c r="B15" s="236"/>
      <c r="C15" s="238"/>
      <c r="D15" s="239"/>
      <c r="E15" s="236"/>
      <c r="F15" s="218"/>
      <c r="G15" s="162"/>
    </row>
    <row r="16" spans="1:15" ht="29.25" customHeight="1">
      <c r="A16" s="233"/>
      <c r="B16" s="236"/>
      <c r="C16" s="238"/>
      <c r="D16" s="239"/>
      <c r="E16" s="236"/>
      <c r="F16" s="218"/>
      <c r="G16" s="162"/>
    </row>
    <row r="17" spans="1:7" ht="29.25" customHeight="1">
      <c r="A17" s="233"/>
      <c r="B17" s="236"/>
      <c r="C17" s="238"/>
      <c r="D17" s="239"/>
      <c r="E17" s="236"/>
      <c r="F17" s="218"/>
      <c r="G17" s="162"/>
    </row>
    <row r="18" spans="1:7" ht="29.25" customHeight="1">
      <c r="A18" s="233"/>
      <c r="B18" s="236"/>
      <c r="C18" s="238"/>
      <c r="D18" s="239"/>
      <c r="E18" s="236"/>
      <c r="F18" s="218"/>
      <c r="G18" s="162"/>
    </row>
    <row r="19" spans="1:7" ht="29.25" customHeight="1">
      <c r="A19" s="233"/>
      <c r="B19" s="236"/>
      <c r="C19" s="238"/>
      <c r="D19" s="239"/>
      <c r="E19" s="236"/>
      <c r="F19" s="218"/>
      <c r="G19" s="162"/>
    </row>
    <row r="20" spans="1:7" ht="29.25" customHeight="1">
      <c r="A20" s="233"/>
      <c r="B20" s="236"/>
      <c r="C20" s="238"/>
      <c r="D20" s="239"/>
      <c r="E20" s="236"/>
      <c r="F20" s="218"/>
      <c r="G20" s="162"/>
    </row>
    <row r="21" spans="1:7" ht="29.25" customHeight="1">
      <c r="A21" s="233"/>
      <c r="B21" s="236"/>
      <c r="C21" s="238"/>
      <c r="D21" s="239"/>
      <c r="E21" s="236"/>
      <c r="F21" s="218"/>
      <c r="G21" s="162"/>
    </row>
    <row r="22" spans="1:7" ht="29.25" customHeight="1">
      <c r="A22" s="233"/>
      <c r="B22" s="236"/>
      <c r="C22" s="238"/>
      <c r="D22" s="239"/>
      <c r="E22" s="236"/>
      <c r="F22" s="218"/>
      <c r="G22" s="162"/>
    </row>
    <row r="23" spans="1:7" ht="29.25" customHeight="1">
      <c r="A23" s="233"/>
      <c r="B23" s="236"/>
      <c r="C23" s="238"/>
      <c r="D23" s="239"/>
      <c r="E23" s="236"/>
      <c r="F23" s="218"/>
      <c r="G23" s="161"/>
    </row>
    <row r="24" spans="1:7" ht="29.25" customHeight="1">
      <c r="A24" s="233"/>
      <c r="B24" s="234"/>
      <c r="C24" s="235"/>
      <c r="D24" s="234"/>
      <c r="E24" s="234"/>
      <c r="F24" s="218"/>
      <c r="G24" s="161"/>
    </row>
    <row r="25" spans="1:7" ht="29.25" customHeight="1">
      <c r="A25" s="233"/>
      <c r="B25" s="234"/>
      <c r="C25" s="235"/>
      <c r="D25" s="234"/>
      <c r="E25" s="234"/>
      <c r="F25" s="218"/>
      <c r="G25" s="161"/>
    </row>
    <row r="26" spans="1:7" ht="29.25" customHeight="1">
      <c r="A26" s="233"/>
      <c r="B26" s="236"/>
      <c r="C26" s="238"/>
      <c r="D26" s="239"/>
      <c r="E26" s="236"/>
      <c r="F26" s="218"/>
      <c r="G26" s="161"/>
    </row>
    <row r="27" spans="1:7" ht="29.25" customHeight="1">
      <c r="A27" s="233"/>
      <c r="B27" s="236"/>
      <c r="C27" s="238"/>
      <c r="D27" s="239"/>
      <c r="E27" s="236"/>
      <c r="F27" s="218"/>
      <c r="G27" s="161"/>
    </row>
    <row r="28" spans="1:7" ht="29.25" customHeight="1">
      <c r="A28" s="233"/>
      <c r="B28" s="234"/>
      <c r="C28" s="235"/>
      <c r="D28" s="234"/>
      <c r="E28" s="234"/>
      <c r="F28" s="218"/>
      <c r="G28" s="161"/>
    </row>
    <row r="29" spans="1:7" ht="29.25" customHeight="1">
      <c r="A29" s="233"/>
      <c r="B29" s="234"/>
      <c r="C29" s="235"/>
      <c r="D29" s="234"/>
      <c r="E29" s="234"/>
      <c r="F29" s="218"/>
      <c r="G29" s="161"/>
    </row>
    <row r="30" spans="1:7" ht="29.25" customHeight="1">
      <c r="A30" s="233"/>
      <c r="B30" s="221"/>
      <c r="C30" s="224"/>
      <c r="D30" s="221"/>
      <c r="E30" s="221"/>
      <c r="F30" s="218"/>
      <c r="G30" s="161"/>
    </row>
    <row r="31" spans="1:7" ht="29.25" customHeight="1">
      <c r="A31" s="223"/>
      <c r="B31" s="221"/>
      <c r="C31" s="224"/>
      <c r="D31" s="221"/>
      <c r="E31" s="221"/>
      <c r="F31" s="218"/>
      <c r="G31" s="161"/>
    </row>
    <row r="32" spans="1:7" ht="29.25" customHeight="1">
      <c r="A32" s="223" t="s">
        <v>343</v>
      </c>
      <c r="B32" s="221"/>
      <c r="C32" s="235">
        <f>SUM(C7:C31)</f>
        <v>0</v>
      </c>
      <c r="D32" s="221"/>
      <c r="E32" s="221"/>
      <c r="F32" s="218"/>
      <c r="G32" s="161"/>
    </row>
    <row r="35" spans="3:4">
      <c r="D35" s="165"/>
    </row>
    <row r="36" spans="3:4">
      <c r="C36" s="165"/>
    </row>
    <row r="44" spans="3:4">
      <c r="D44" s="225" t="s">
        <v>340</v>
      </c>
    </row>
  </sheetData>
  <autoFilter ref="B1:B44" xr:uid="{00000000-0009-0000-0000-00000E000000}"/>
  <mergeCells count="9">
    <mergeCell ref="A1:D2"/>
    <mergeCell ref="I1:I2"/>
    <mergeCell ref="A4:D4"/>
    <mergeCell ref="A5:A6"/>
    <mergeCell ref="B5:B6"/>
    <mergeCell ref="C5:C6"/>
    <mergeCell ref="D5:D6"/>
    <mergeCell ref="E5:E6"/>
    <mergeCell ref="F5:F6"/>
  </mergeCells>
  <phoneticPr fontId="118" type="noConversion"/>
  <printOptions horizontalCentered="1"/>
  <pageMargins left="0.11811023622047245" right="0.27559055118110237" top="0.35433070866141736" bottom="0.27559055118110237" header="0" footer="0"/>
  <pageSetup paperSize="9" scale="80" orientation="portrait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77AC-08CD-41C9-AADA-18D8E52C8BF3}">
  <dimension ref="A1:U27"/>
  <sheetViews>
    <sheetView workbookViewId="0"/>
  </sheetViews>
  <sheetFormatPr defaultRowHeight="18.75"/>
  <cols>
    <col min="1" max="1" width="4" style="295" customWidth="1"/>
    <col min="2" max="2" width="12.625" style="295" customWidth="1"/>
    <col min="3" max="3" width="14.25" style="295" customWidth="1"/>
    <col min="4" max="4" width="13.875" style="295" bestFit="1" customWidth="1"/>
    <col min="5" max="15" width="15" style="295" customWidth="1"/>
    <col min="16" max="20" width="10.75" style="295" hidden="1" customWidth="1"/>
    <col min="21" max="21" width="13.25" style="295" customWidth="1"/>
    <col min="22" max="22" width="9" style="295"/>
    <col min="23" max="23" width="21.625" style="295" bestFit="1" customWidth="1"/>
    <col min="24" max="16384" width="9" style="295"/>
  </cols>
  <sheetData>
    <row r="1" spans="1:21" ht="11.25" customHeight="1">
      <c r="A1" s="305"/>
      <c r="B1" s="305"/>
      <c r="C1" s="305"/>
      <c r="D1" s="305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</row>
    <row r="2" spans="1:21" ht="32.25" customHeight="1">
      <c r="A2" s="851" t="s">
        <v>148</v>
      </c>
      <c r="B2" s="851"/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  <c r="P2" s="851"/>
      <c r="Q2" s="851"/>
      <c r="R2" s="851"/>
      <c r="S2" s="851"/>
      <c r="T2" s="851"/>
      <c r="U2" s="851"/>
    </row>
    <row r="3" spans="1:21" ht="32.25" customHeight="1" thickBot="1">
      <c r="A3" s="884" t="s">
        <v>453</v>
      </c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884"/>
    </row>
    <row r="4" spans="1:21" ht="36.75" customHeight="1" thickBot="1">
      <c r="A4" s="324"/>
      <c r="B4" s="325" t="s">
        <v>149</v>
      </c>
      <c r="C4" s="293" t="s">
        <v>150</v>
      </c>
      <c r="D4" s="293" t="s">
        <v>226</v>
      </c>
      <c r="E4" s="293" t="s">
        <v>419</v>
      </c>
      <c r="F4" s="293" t="s">
        <v>420</v>
      </c>
      <c r="G4" s="293"/>
      <c r="H4" s="293"/>
      <c r="I4" s="293"/>
      <c r="J4" s="293"/>
      <c r="K4" s="293"/>
      <c r="L4" s="293"/>
      <c r="M4" s="293"/>
      <c r="N4" s="293"/>
      <c r="O4" s="293"/>
      <c r="P4" s="293" t="s">
        <v>308</v>
      </c>
      <c r="Q4" s="293" t="s">
        <v>228</v>
      </c>
      <c r="R4" s="293" t="s">
        <v>229</v>
      </c>
      <c r="S4" s="293" t="s">
        <v>230</v>
      </c>
      <c r="T4" s="293" t="s">
        <v>388</v>
      </c>
      <c r="U4" s="294" t="s">
        <v>4</v>
      </c>
    </row>
    <row r="5" spans="1:21" s="307" customFormat="1" ht="36.75" customHeight="1">
      <c r="A5" s="885" t="s">
        <v>199</v>
      </c>
      <c r="B5" s="359" t="s">
        <v>446</v>
      </c>
      <c r="C5" s="424" t="s">
        <v>447</v>
      </c>
      <c r="D5" s="888">
        <v>1572500</v>
      </c>
      <c r="E5" s="312"/>
      <c r="F5" s="312">
        <v>2510000</v>
      </c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21"/>
      <c r="R5" s="313"/>
      <c r="S5" s="313"/>
      <c r="T5" s="313"/>
      <c r="U5" s="322">
        <f>SUM(E5:T5)</f>
        <v>2510000</v>
      </c>
    </row>
    <row r="6" spans="1:21" s="307" customFormat="1" ht="36.75" customHeight="1">
      <c r="A6" s="886"/>
      <c r="B6" s="360"/>
      <c r="C6" s="416"/>
      <c r="D6" s="889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23">
        <f>SUM(E6:T6)</f>
        <v>0</v>
      </c>
    </row>
    <row r="7" spans="1:21" s="307" customFormat="1" ht="36.75" customHeight="1">
      <c r="A7" s="886"/>
      <c r="B7" s="360"/>
      <c r="C7" s="416"/>
      <c r="D7" s="889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23">
        <f t="shared" ref="U7:U23" si="0">SUM(E7:T7)</f>
        <v>0</v>
      </c>
    </row>
    <row r="8" spans="1:21" s="307" customFormat="1" ht="36.75" customHeight="1">
      <c r="A8" s="886"/>
      <c r="B8" s="360"/>
      <c r="C8" s="416"/>
      <c r="D8" s="889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23">
        <f t="shared" si="0"/>
        <v>0</v>
      </c>
    </row>
    <row r="9" spans="1:21" s="307" customFormat="1" ht="36.75" customHeight="1">
      <c r="A9" s="886"/>
      <c r="B9" s="361"/>
      <c r="C9" s="416"/>
      <c r="D9" s="889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23">
        <f t="shared" si="0"/>
        <v>0</v>
      </c>
    </row>
    <row r="10" spans="1:21" s="307" customFormat="1" ht="36.75" customHeight="1">
      <c r="A10" s="886"/>
      <c r="B10" s="362"/>
      <c r="C10" s="416"/>
      <c r="D10" s="889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23">
        <f t="shared" si="0"/>
        <v>0</v>
      </c>
    </row>
    <row r="11" spans="1:21" s="307" customFormat="1" ht="36.75" customHeight="1">
      <c r="A11" s="886"/>
      <c r="B11" s="361"/>
      <c r="C11" s="416"/>
      <c r="D11" s="889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23">
        <f t="shared" si="0"/>
        <v>0</v>
      </c>
    </row>
    <row r="12" spans="1:21" s="307" customFormat="1" ht="36.75" customHeight="1">
      <c r="A12" s="886"/>
      <c r="B12" s="362"/>
      <c r="C12" s="416"/>
      <c r="D12" s="889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23">
        <f t="shared" si="0"/>
        <v>0</v>
      </c>
    </row>
    <row r="13" spans="1:21" s="307" customFormat="1" ht="36.75" customHeight="1">
      <c r="A13" s="886"/>
      <c r="B13" s="363"/>
      <c r="C13" s="416"/>
      <c r="D13" s="889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23">
        <f t="shared" si="0"/>
        <v>0</v>
      </c>
    </row>
    <row r="14" spans="1:21" s="307" customFormat="1" ht="36.75" customHeight="1">
      <c r="A14" s="886"/>
      <c r="B14" s="364"/>
      <c r="C14" s="416"/>
      <c r="D14" s="889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23">
        <f t="shared" si="0"/>
        <v>0</v>
      </c>
    </row>
    <row r="15" spans="1:21" s="307" customFormat="1" ht="36.75" customHeight="1">
      <c r="A15" s="886"/>
      <c r="B15" s="361"/>
      <c r="C15" s="416"/>
      <c r="D15" s="889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23">
        <f t="shared" si="0"/>
        <v>0</v>
      </c>
    </row>
    <row r="16" spans="1:21" s="307" customFormat="1" ht="36.75" customHeight="1">
      <c r="A16" s="886"/>
      <c r="B16" s="361"/>
      <c r="C16" s="416"/>
      <c r="D16" s="889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23">
        <f t="shared" si="0"/>
        <v>0</v>
      </c>
    </row>
    <row r="17" spans="1:21" s="307" customFormat="1" ht="36.75" customHeight="1">
      <c r="A17" s="886"/>
      <c r="B17" s="361"/>
      <c r="C17" s="416"/>
      <c r="D17" s="889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23">
        <f t="shared" si="0"/>
        <v>0</v>
      </c>
    </row>
    <row r="18" spans="1:21" s="307" customFormat="1" ht="36.75" customHeight="1">
      <c r="A18" s="886"/>
      <c r="B18" s="361"/>
      <c r="C18" s="416"/>
      <c r="D18" s="889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23">
        <f t="shared" si="0"/>
        <v>0</v>
      </c>
    </row>
    <row r="19" spans="1:21" s="307" customFormat="1" ht="36.75" customHeight="1">
      <c r="A19" s="886"/>
      <c r="B19" s="361"/>
      <c r="C19" s="417"/>
      <c r="D19" s="889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23">
        <f t="shared" si="0"/>
        <v>0</v>
      </c>
    </row>
    <row r="20" spans="1:21" s="307" customFormat="1" ht="36.75" customHeight="1">
      <c r="A20" s="886"/>
      <c r="B20" s="361"/>
      <c r="C20" s="417"/>
      <c r="D20" s="889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23">
        <f t="shared" si="0"/>
        <v>0</v>
      </c>
    </row>
    <row r="21" spans="1:21" s="307" customFormat="1" ht="36.75" customHeight="1">
      <c r="A21" s="886"/>
      <c r="B21" s="361"/>
      <c r="C21" s="417"/>
      <c r="D21" s="889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23">
        <f t="shared" si="0"/>
        <v>0</v>
      </c>
    </row>
    <row r="22" spans="1:21" s="307" customFormat="1" ht="36.75" customHeight="1">
      <c r="A22" s="886"/>
      <c r="B22" s="361"/>
      <c r="C22" s="418"/>
      <c r="D22" s="889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23">
        <f t="shared" si="0"/>
        <v>0</v>
      </c>
    </row>
    <row r="23" spans="1:21" s="307" customFormat="1" ht="36.75" customHeight="1">
      <c r="A23" s="886"/>
      <c r="B23" s="361"/>
      <c r="C23" s="416"/>
      <c r="D23" s="889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23">
        <f t="shared" si="0"/>
        <v>0</v>
      </c>
    </row>
    <row r="24" spans="1:21" ht="36.75" customHeight="1" thickBot="1">
      <c r="A24" s="887"/>
      <c r="B24" s="365"/>
      <c r="C24" s="419"/>
      <c r="D24" s="890"/>
      <c r="E24" s="302"/>
      <c r="F24" s="302"/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3">
        <f t="shared" ref="U24" si="1">SUM(E24:S24)</f>
        <v>0</v>
      </c>
    </row>
    <row r="25" spans="1:21" s="328" customFormat="1" ht="36.75" customHeight="1" thickBot="1">
      <c r="A25" s="882" t="s">
        <v>167</v>
      </c>
      <c r="B25" s="883"/>
      <c r="C25" s="331"/>
      <c r="D25" s="332">
        <f t="shared" ref="D25:U25" si="2">SUM(D5:D24)</f>
        <v>1572500</v>
      </c>
      <c r="E25" s="333">
        <f t="shared" si="2"/>
        <v>0</v>
      </c>
      <c r="F25" s="333">
        <f t="shared" si="2"/>
        <v>2510000</v>
      </c>
      <c r="G25" s="333">
        <f t="shared" si="2"/>
        <v>0</v>
      </c>
      <c r="H25" s="333">
        <f t="shared" si="2"/>
        <v>0</v>
      </c>
      <c r="I25" s="333">
        <f t="shared" si="2"/>
        <v>0</v>
      </c>
      <c r="J25" s="333">
        <f t="shared" si="2"/>
        <v>0</v>
      </c>
      <c r="K25" s="333">
        <f t="shared" si="2"/>
        <v>0</v>
      </c>
      <c r="L25" s="333">
        <f t="shared" si="2"/>
        <v>0</v>
      </c>
      <c r="M25" s="333">
        <f t="shared" si="2"/>
        <v>0</v>
      </c>
      <c r="N25" s="333">
        <f t="shared" si="2"/>
        <v>0</v>
      </c>
      <c r="O25" s="333">
        <f t="shared" si="2"/>
        <v>0</v>
      </c>
      <c r="P25" s="333">
        <f t="shared" si="2"/>
        <v>0</v>
      </c>
      <c r="Q25" s="333">
        <f t="shared" si="2"/>
        <v>0</v>
      </c>
      <c r="R25" s="333">
        <f t="shared" si="2"/>
        <v>0</v>
      </c>
      <c r="S25" s="333">
        <f t="shared" si="2"/>
        <v>0</v>
      </c>
      <c r="T25" s="333">
        <f t="shared" si="2"/>
        <v>0</v>
      </c>
      <c r="U25" s="334">
        <f t="shared" si="2"/>
        <v>2510000</v>
      </c>
    </row>
    <row r="26" spans="1:21" s="328" customFormat="1" ht="36.75" customHeight="1" thickBot="1">
      <c r="A26" s="838" t="s">
        <v>168</v>
      </c>
      <c r="B26" s="839"/>
      <c r="C26" s="335"/>
      <c r="D26" s="336">
        <f>D25</f>
        <v>1572500</v>
      </c>
      <c r="E26" s="329">
        <f>E25</f>
        <v>0</v>
      </c>
      <c r="F26" s="329">
        <f t="shared" ref="F26:T26" si="3">E26+F25</f>
        <v>2510000</v>
      </c>
      <c r="G26" s="329">
        <f t="shared" si="3"/>
        <v>2510000</v>
      </c>
      <c r="H26" s="329">
        <f>G26+H25</f>
        <v>2510000</v>
      </c>
      <c r="I26" s="329">
        <f>H26+I25</f>
        <v>2510000</v>
      </c>
      <c r="J26" s="329">
        <f t="shared" si="3"/>
        <v>2510000</v>
      </c>
      <c r="K26" s="329">
        <f t="shared" si="3"/>
        <v>2510000</v>
      </c>
      <c r="L26" s="329">
        <f t="shared" si="3"/>
        <v>2510000</v>
      </c>
      <c r="M26" s="329">
        <f t="shared" si="3"/>
        <v>2510000</v>
      </c>
      <c r="N26" s="329">
        <f t="shared" si="3"/>
        <v>2510000</v>
      </c>
      <c r="O26" s="329">
        <f>N26+O25</f>
        <v>2510000</v>
      </c>
      <c r="P26" s="329">
        <f>O26+P25</f>
        <v>2510000</v>
      </c>
      <c r="Q26" s="329">
        <f>P26+Q25</f>
        <v>2510000</v>
      </c>
      <c r="R26" s="329">
        <f>Q26+R25</f>
        <v>2510000</v>
      </c>
      <c r="S26" s="329">
        <f t="shared" si="3"/>
        <v>2510000</v>
      </c>
      <c r="T26" s="329">
        <f t="shared" si="3"/>
        <v>2510000</v>
      </c>
      <c r="U26" s="330"/>
    </row>
    <row r="27" spans="1:21" ht="11.25" customHeight="1">
      <c r="A27" s="305"/>
      <c r="B27" s="305"/>
      <c r="C27" s="305"/>
      <c r="D27" s="305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</row>
  </sheetData>
  <mergeCells count="6">
    <mergeCell ref="A25:B25"/>
    <mergeCell ref="A26:B26"/>
    <mergeCell ref="A2:U2"/>
    <mergeCell ref="A3:U3"/>
    <mergeCell ref="A5:A24"/>
    <mergeCell ref="D5:D24"/>
  </mergeCells>
  <phoneticPr fontId="142" type="noConversion"/>
  <printOptions horizontalCentered="1"/>
  <pageMargins left="0.23622047244094491" right="0.19685039370078741" top="0.59055118110236227" bottom="0.35433070866141736" header="0" footer="0"/>
  <pageSetup paperSize="9" scale="55" fitToWidth="9" fitToHeight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C423-8D76-4D12-9D1E-ADE6E51EEE90}">
  <dimension ref="A1:U27"/>
  <sheetViews>
    <sheetView workbookViewId="0"/>
  </sheetViews>
  <sheetFormatPr defaultRowHeight="18.75"/>
  <cols>
    <col min="1" max="1" width="4" style="295" customWidth="1"/>
    <col min="2" max="2" width="12.625" style="295" customWidth="1"/>
    <col min="3" max="3" width="14.25" style="295" customWidth="1"/>
    <col min="4" max="4" width="13.875" style="295" bestFit="1" customWidth="1"/>
    <col min="5" max="15" width="15" style="295" customWidth="1"/>
    <col min="16" max="20" width="10.75" style="295" hidden="1" customWidth="1"/>
    <col min="21" max="21" width="13.25" style="295" customWidth="1"/>
    <col min="22" max="22" width="9" style="295"/>
    <col min="23" max="23" width="21.625" style="295" bestFit="1" customWidth="1"/>
    <col min="24" max="16384" width="9" style="295"/>
  </cols>
  <sheetData>
    <row r="1" spans="1:21" ht="11.25" customHeight="1">
      <c r="A1" s="305"/>
      <c r="B1" s="305"/>
      <c r="C1" s="305"/>
      <c r="D1" s="305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</row>
    <row r="2" spans="1:21" ht="32.25" customHeight="1">
      <c r="A2" s="851" t="s">
        <v>148</v>
      </c>
      <c r="B2" s="851"/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  <c r="P2" s="851"/>
      <c r="Q2" s="851"/>
      <c r="R2" s="851"/>
      <c r="S2" s="851"/>
      <c r="T2" s="851"/>
      <c r="U2" s="851"/>
    </row>
    <row r="3" spans="1:21" ht="32.25" customHeight="1" thickBot="1">
      <c r="A3" s="884" t="s">
        <v>452</v>
      </c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884"/>
    </row>
    <row r="4" spans="1:21" ht="36.75" customHeight="1" thickBot="1">
      <c r="A4" s="324"/>
      <c r="B4" s="325" t="s">
        <v>149</v>
      </c>
      <c r="C4" s="293" t="s">
        <v>150</v>
      </c>
      <c r="D4" s="293" t="s">
        <v>226</v>
      </c>
      <c r="E4" s="293" t="s">
        <v>419</v>
      </c>
      <c r="F4" s="293" t="s">
        <v>420</v>
      </c>
      <c r="G4" s="293"/>
      <c r="H4" s="293"/>
      <c r="I4" s="293"/>
      <c r="J4" s="293"/>
      <c r="K4" s="293"/>
      <c r="L4" s="293"/>
      <c r="M4" s="293"/>
      <c r="N4" s="293"/>
      <c r="O4" s="293"/>
      <c r="P4" s="293" t="s">
        <v>308</v>
      </c>
      <c r="Q4" s="293" t="s">
        <v>228</v>
      </c>
      <c r="R4" s="293" t="s">
        <v>229</v>
      </c>
      <c r="S4" s="293" t="s">
        <v>230</v>
      </c>
      <c r="T4" s="293" t="s">
        <v>388</v>
      </c>
      <c r="U4" s="294" t="s">
        <v>4</v>
      </c>
    </row>
    <row r="5" spans="1:21" s="307" customFormat="1" ht="36.75" customHeight="1">
      <c r="A5" s="885" t="s">
        <v>199</v>
      </c>
      <c r="B5" s="359"/>
      <c r="C5" s="424"/>
      <c r="D5" s="888">
        <v>2206070</v>
      </c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21"/>
      <c r="R5" s="313"/>
      <c r="S5" s="313"/>
      <c r="T5" s="313"/>
      <c r="U5" s="322">
        <f>SUM(E5:T5)</f>
        <v>0</v>
      </c>
    </row>
    <row r="6" spans="1:21" s="307" customFormat="1" ht="36.75" customHeight="1">
      <c r="A6" s="886"/>
      <c r="B6" s="360"/>
      <c r="C6" s="416"/>
      <c r="D6" s="889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23">
        <f>SUM(E6:T6)</f>
        <v>0</v>
      </c>
    </row>
    <row r="7" spans="1:21" s="307" customFormat="1" ht="36.75" customHeight="1">
      <c r="A7" s="886"/>
      <c r="B7" s="360"/>
      <c r="C7" s="416"/>
      <c r="D7" s="889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23">
        <f t="shared" ref="U7:U23" si="0">SUM(E7:T7)</f>
        <v>0</v>
      </c>
    </row>
    <row r="8" spans="1:21" s="307" customFormat="1" ht="36.75" customHeight="1">
      <c r="A8" s="886"/>
      <c r="B8" s="360"/>
      <c r="C8" s="416"/>
      <c r="D8" s="889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23">
        <f t="shared" si="0"/>
        <v>0</v>
      </c>
    </row>
    <row r="9" spans="1:21" s="307" customFormat="1" ht="36.75" customHeight="1">
      <c r="A9" s="886"/>
      <c r="B9" s="361"/>
      <c r="C9" s="416"/>
      <c r="D9" s="889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23">
        <f t="shared" si="0"/>
        <v>0</v>
      </c>
    </row>
    <row r="10" spans="1:21" s="307" customFormat="1" ht="36.75" customHeight="1">
      <c r="A10" s="886"/>
      <c r="B10" s="362"/>
      <c r="C10" s="416"/>
      <c r="D10" s="889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23">
        <f t="shared" si="0"/>
        <v>0</v>
      </c>
    </row>
    <row r="11" spans="1:21" s="307" customFormat="1" ht="36.75" customHeight="1">
      <c r="A11" s="886"/>
      <c r="B11" s="361"/>
      <c r="C11" s="416"/>
      <c r="D11" s="889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23">
        <f t="shared" si="0"/>
        <v>0</v>
      </c>
    </row>
    <row r="12" spans="1:21" s="307" customFormat="1" ht="36.75" customHeight="1">
      <c r="A12" s="886"/>
      <c r="B12" s="362"/>
      <c r="C12" s="416"/>
      <c r="D12" s="889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23">
        <f t="shared" si="0"/>
        <v>0</v>
      </c>
    </row>
    <row r="13" spans="1:21" s="307" customFormat="1" ht="36.75" customHeight="1">
      <c r="A13" s="886"/>
      <c r="B13" s="363"/>
      <c r="C13" s="416"/>
      <c r="D13" s="889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23">
        <f t="shared" si="0"/>
        <v>0</v>
      </c>
    </row>
    <row r="14" spans="1:21" s="307" customFormat="1" ht="36.75" customHeight="1">
      <c r="A14" s="886"/>
      <c r="B14" s="364"/>
      <c r="C14" s="416"/>
      <c r="D14" s="889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23">
        <f t="shared" si="0"/>
        <v>0</v>
      </c>
    </row>
    <row r="15" spans="1:21" s="307" customFormat="1" ht="36.75" customHeight="1">
      <c r="A15" s="886"/>
      <c r="B15" s="361"/>
      <c r="C15" s="416"/>
      <c r="D15" s="889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23">
        <f t="shared" si="0"/>
        <v>0</v>
      </c>
    </row>
    <row r="16" spans="1:21" s="307" customFormat="1" ht="36.75" customHeight="1">
      <c r="A16" s="886"/>
      <c r="B16" s="361"/>
      <c r="C16" s="416"/>
      <c r="D16" s="889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23">
        <f t="shared" si="0"/>
        <v>0</v>
      </c>
    </row>
    <row r="17" spans="1:21" s="307" customFormat="1" ht="36.75" customHeight="1">
      <c r="A17" s="886"/>
      <c r="B17" s="361"/>
      <c r="C17" s="416"/>
      <c r="D17" s="889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23">
        <f t="shared" si="0"/>
        <v>0</v>
      </c>
    </row>
    <row r="18" spans="1:21" s="307" customFormat="1" ht="36.75" customHeight="1">
      <c r="A18" s="886"/>
      <c r="B18" s="361"/>
      <c r="C18" s="416"/>
      <c r="D18" s="889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23">
        <f t="shared" si="0"/>
        <v>0</v>
      </c>
    </row>
    <row r="19" spans="1:21" s="307" customFormat="1" ht="36.75" customHeight="1">
      <c r="A19" s="886"/>
      <c r="B19" s="361"/>
      <c r="C19" s="417"/>
      <c r="D19" s="889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23">
        <f t="shared" si="0"/>
        <v>0</v>
      </c>
    </row>
    <row r="20" spans="1:21" s="307" customFormat="1" ht="36.75" customHeight="1">
      <c r="A20" s="886"/>
      <c r="B20" s="361"/>
      <c r="C20" s="417"/>
      <c r="D20" s="889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23">
        <f t="shared" si="0"/>
        <v>0</v>
      </c>
    </row>
    <row r="21" spans="1:21" s="307" customFormat="1" ht="36.75" customHeight="1">
      <c r="A21" s="886"/>
      <c r="B21" s="361"/>
      <c r="C21" s="417"/>
      <c r="D21" s="889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23">
        <f t="shared" si="0"/>
        <v>0</v>
      </c>
    </row>
    <row r="22" spans="1:21" s="307" customFormat="1" ht="36.75" customHeight="1">
      <c r="A22" s="886"/>
      <c r="B22" s="361"/>
      <c r="C22" s="418"/>
      <c r="D22" s="889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23">
        <f t="shared" si="0"/>
        <v>0</v>
      </c>
    </row>
    <row r="23" spans="1:21" s="307" customFormat="1" ht="36.75" customHeight="1">
      <c r="A23" s="886"/>
      <c r="B23" s="361"/>
      <c r="C23" s="416"/>
      <c r="D23" s="889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23">
        <f t="shared" si="0"/>
        <v>0</v>
      </c>
    </row>
    <row r="24" spans="1:21" ht="36.75" customHeight="1" thickBot="1">
      <c r="A24" s="887"/>
      <c r="B24" s="365"/>
      <c r="C24" s="419"/>
      <c r="D24" s="890"/>
      <c r="E24" s="302"/>
      <c r="F24" s="302"/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3">
        <f t="shared" ref="U24" si="1">SUM(E24:S24)</f>
        <v>0</v>
      </c>
    </row>
    <row r="25" spans="1:21" s="328" customFormat="1" ht="36.75" customHeight="1" thickBot="1">
      <c r="A25" s="882" t="s">
        <v>167</v>
      </c>
      <c r="B25" s="883"/>
      <c r="C25" s="331"/>
      <c r="D25" s="332">
        <f t="shared" ref="D25:U25" si="2">SUM(D5:D24)</f>
        <v>2206070</v>
      </c>
      <c r="E25" s="333">
        <f t="shared" si="2"/>
        <v>0</v>
      </c>
      <c r="F25" s="333">
        <f t="shared" si="2"/>
        <v>0</v>
      </c>
      <c r="G25" s="333">
        <f t="shared" si="2"/>
        <v>0</v>
      </c>
      <c r="H25" s="333">
        <f t="shared" si="2"/>
        <v>0</v>
      </c>
      <c r="I25" s="333">
        <f t="shared" si="2"/>
        <v>0</v>
      </c>
      <c r="J25" s="333">
        <f t="shared" si="2"/>
        <v>0</v>
      </c>
      <c r="K25" s="333">
        <f t="shared" si="2"/>
        <v>0</v>
      </c>
      <c r="L25" s="333">
        <f t="shared" si="2"/>
        <v>0</v>
      </c>
      <c r="M25" s="333">
        <f t="shared" si="2"/>
        <v>0</v>
      </c>
      <c r="N25" s="333">
        <f t="shared" si="2"/>
        <v>0</v>
      </c>
      <c r="O25" s="333">
        <f t="shared" si="2"/>
        <v>0</v>
      </c>
      <c r="P25" s="333">
        <f t="shared" si="2"/>
        <v>0</v>
      </c>
      <c r="Q25" s="333">
        <f t="shared" si="2"/>
        <v>0</v>
      </c>
      <c r="R25" s="333">
        <f t="shared" si="2"/>
        <v>0</v>
      </c>
      <c r="S25" s="333">
        <f t="shared" si="2"/>
        <v>0</v>
      </c>
      <c r="T25" s="333">
        <f t="shared" si="2"/>
        <v>0</v>
      </c>
      <c r="U25" s="334">
        <f t="shared" si="2"/>
        <v>0</v>
      </c>
    </row>
    <row r="26" spans="1:21" s="328" customFormat="1" ht="36.75" customHeight="1" thickBot="1">
      <c r="A26" s="838" t="s">
        <v>168</v>
      </c>
      <c r="B26" s="839"/>
      <c r="C26" s="335"/>
      <c r="D26" s="336">
        <f>D25</f>
        <v>2206070</v>
      </c>
      <c r="E26" s="329">
        <f>E25</f>
        <v>0</v>
      </c>
      <c r="F26" s="329">
        <f t="shared" ref="F26:T26" si="3">E26+F25</f>
        <v>0</v>
      </c>
      <c r="G26" s="329">
        <f t="shared" si="3"/>
        <v>0</v>
      </c>
      <c r="H26" s="329">
        <f>G26+H25</f>
        <v>0</v>
      </c>
      <c r="I26" s="329">
        <f>H26+I25</f>
        <v>0</v>
      </c>
      <c r="J26" s="329">
        <f t="shared" si="3"/>
        <v>0</v>
      </c>
      <c r="K26" s="329">
        <f t="shared" si="3"/>
        <v>0</v>
      </c>
      <c r="L26" s="329">
        <f t="shared" si="3"/>
        <v>0</v>
      </c>
      <c r="M26" s="329">
        <f t="shared" si="3"/>
        <v>0</v>
      </c>
      <c r="N26" s="329">
        <f t="shared" si="3"/>
        <v>0</v>
      </c>
      <c r="O26" s="329">
        <f>N26+O25</f>
        <v>0</v>
      </c>
      <c r="P26" s="329">
        <f>O26+P25</f>
        <v>0</v>
      </c>
      <c r="Q26" s="329">
        <f>P26+Q25</f>
        <v>0</v>
      </c>
      <c r="R26" s="329">
        <f>Q26+R25</f>
        <v>0</v>
      </c>
      <c r="S26" s="329">
        <f t="shared" si="3"/>
        <v>0</v>
      </c>
      <c r="T26" s="329">
        <f t="shared" si="3"/>
        <v>0</v>
      </c>
      <c r="U26" s="330"/>
    </row>
    <row r="27" spans="1:21" ht="11.25" customHeight="1">
      <c r="A27" s="305"/>
      <c r="B27" s="305"/>
      <c r="C27" s="305"/>
      <c r="D27" s="305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</row>
  </sheetData>
  <mergeCells count="6">
    <mergeCell ref="A2:U2"/>
    <mergeCell ref="A3:U3"/>
    <mergeCell ref="A5:A24"/>
    <mergeCell ref="A25:B25"/>
    <mergeCell ref="A26:B26"/>
    <mergeCell ref="D5:D24"/>
  </mergeCells>
  <phoneticPr fontId="142" type="noConversion"/>
  <printOptions horizontalCentered="1"/>
  <pageMargins left="0.23622047244094491" right="0.19685039370078741" top="0.59055118110236227" bottom="0.35433070866141736" header="0" footer="0"/>
  <pageSetup paperSize="9" scale="55" fitToWidth="9" fitToHeight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1915-ED06-4304-A1A4-0DA419D800AA}">
  <dimension ref="A1:U27"/>
  <sheetViews>
    <sheetView workbookViewId="0"/>
  </sheetViews>
  <sheetFormatPr defaultRowHeight="18.75"/>
  <cols>
    <col min="1" max="1" width="4" style="295" customWidth="1"/>
    <col min="2" max="2" width="12.625" style="295" customWidth="1"/>
    <col min="3" max="3" width="14.25" style="295" customWidth="1"/>
    <col min="4" max="4" width="13.875" style="295" bestFit="1" customWidth="1"/>
    <col min="5" max="15" width="15" style="295" customWidth="1"/>
    <col min="16" max="20" width="10.75" style="295" hidden="1" customWidth="1"/>
    <col min="21" max="21" width="13.25" style="295" customWidth="1"/>
    <col min="22" max="22" width="9" style="295"/>
    <col min="23" max="23" width="21.625" style="295" bestFit="1" customWidth="1"/>
    <col min="24" max="16384" width="9" style="295"/>
  </cols>
  <sheetData>
    <row r="1" spans="1:21" ht="11.25" customHeight="1">
      <c r="A1" s="305"/>
      <c r="B1" s="305"/>
      <c r="C1" s="305"/>
      <c r="D1" s="305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</row>
    <row r="2" spans="1:21" ht="32.25" customHeight="1">
      <c r="A2" s="851" t="s">
        <v>148</v>
      </c>
      <c r="B2" s="851"/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  <c r="P2" s="851"/>
      <c r="Q2" s="851"/>
      <c r="R2" s="851"/>
      <c r="S2" s="851"/>
      <c r="T2" s="851"/>
      <c r="U2" s="851"/>
    </row>
    <row r="3" spans="1:21" ht="32.25" customHeight="1" thickBot="1">
      <c r="A3" s="884" t="s">
        <v>451</v>
      </c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884"/>
    </row>
    <row r="4" spans="1:21" ht="36.75" customHeight="1" thickBot="1">
      <c r="A4" s="324"/>
      <c r="B4" s="325" t="s">
        <v>149</v>
      </c>
      <c r="C4" s="293" t="s">
        <v>150</v>
      </c>
      <c r="D4" s="293" t="s">
        <v>226</v>
      </c>
      <c r="E4" s="293" t="s">
        <v>419</v>
      </c>
      <c r="F4" s="293" t="s">
        <v>420</v>
      </c>
      <c r="G4" s="293"/>
      <c r="H4" s="293"/>
      <c r="I4" s="293"/>
      <c r="J4" s="293"/>
      <c r="K4" s="293"/>
      <c r="L4" s="293"/>
      <c r="M4" s="293"/>
      <c r="N4" s="293"/>
      <c r="O4" s="293"/>
      <c r="P4" s="293" t="s">
        <v>308</v>
      </c>
      <c r="Q4" s="293" t="s">
        <v>228</v>
      </c>
      <c r="R4" s="293" t="s">
        <v>229</v>
      </c>
      <c r="S4" s="293" t="s">
        <v>230</v>
      </c>
      <c r="T4" s="293" t="s">
        <v>388</v>
      </c>
      <c r="U4" s="294" t="s">
        <v>4</v>
      </c>
    </row>
    <row r="5" spans="1:21" s="307" customFormat="1" ht="36.75" customHeight="1">
      <c r="A5" s="885" t="s">
        <v>199</v>
      </c>
      <c r="B5" s="359"/>
      <c r="C5" s="424"/>
      <c r="D5" s="888">
        <v>12049769</v>
      </c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21"/>
      <c r="R5" s="313"/>
      <c r="S5" s="313"/>
      <c r="T5" s="313"/>
      <c r="U5" s="322">
        <f>SUM(E5:T5)</f>
        <v>0</v>
      </c>
    </row>
    <row r="6" spans="1:21" s="307" customFormat="1" ht="36.75" customHeight="1">
      <c r="A6" s="886"/>
      <c r="B6" s="360"/>
      <c r="C6" s="416"/>
      <c r="D6" s="889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23">
        <f>SUM(E6:T6)</f>
        <v>0</v>
      </c>
    </row>
    <row r="7" spans="1:21" s="307" customFormat="1" ht="36.75" customHeight="1">
      <c r="A7" s="886"/>
      <c r="B7" s="360"/>
      <c r="C7" s="416"/>
      <c r="D7" s="889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23">
        <f t="shared" ref="U7:U23" si="0">SUM(E7:T7)</f>
        <v>0</v>
      </c>
    </row>
    <row r="8" spans="1:21" s="307" customFormat="1" ht="36.75" customHeight="1">
      <c r="A8" s="886"/>
      <c r="B8" s="360"/>
      <c r="C8" s="416"/>
      <c r="D8" s="889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23">
        <f t="shared" si="0"/>
        <v>0</v>
      </c>
    </row>
    <row r="9" spans="1:21" s="307" customFormat="1" ht="36.75" customHeight="1">
      <c r="A9" s="886"/>
      <c r="B9" s="361"/>
      <c r="C9" s="416"/>
      <c r="D9" s="889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23">
        <f t="shared" si="0"/>
        <v>0</v>
      </c>
    </row>
    <row r="10" spans="1:21" s="307" customFormat="1" ht="36.75" customHeight="1">
      <c r="A10" s="886"/>
      <c r="B10" s="362"/>
      <c r="C10" s="416"/>
      <c r="D10" s="889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23">
        <f t="shared" si="0"/>
        <v>0</v>
      </c>
    </row>
    <row r="11" spans="1:21" s="307" customFormat="1" ht="36.75" customHeight="1">
      <c r="A11" s="886"/>
      <c r="B11" s="361"/>
      <c r="C11" s="416"/>
      <c r="D11" s="889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23">
        <f t="shared" si="0"/>
        <v>0</v>
      </c>
    </row>
    <row r="12" spans="1:21" s="307" customFormat="1" ht="36.75" customHeight="1">
      <c r="A12" s="886"/>
      <c r="B12" s="362"/>
      <c r="C12" s="416"/>
      <c r="D12" s="889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23">
        <f t="shared" si="0"/>
        <v>0</v>
      </c>
    </row>
    <row r="13" spans="1:21" s="307" customFormat="1" ht="36.75" customHeight="1">
      <c r="A13" s="886"/>
      <c r="B13" s="363"/>
      <c r="C13" s="416"/>
      <c r="D13" s="889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23">
        <f t="shared" si="0"/>
        <v>0</v>
      </c>
    </row>
    <row r="14" spans="1:21" s="307" customFormat="1" ht="36.75" customHeight="1">
      <c r="A14" s="886"/>
      <c r="B14" s="364"/>
      <c r="C14" s="416"/>
      <c r="D14" s="889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23">
        <f t="shared" si="0"/>
        <v>0</v>
      </c>
    </row>
    <row r="15" spans="1:21" s="307" customFormat="1" ht="36.75" customHeight="1">
      <c r="A15" s="886"/>
      <c r="B15" s="361"/>
      <c r="C15" s="416"/>
      <c r="D15" s="889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23">
        <f t="shared" si="0"/>
        <v>0</v>
      </c>
    </row>
    <row r="16" spans="1:21" s="307" customFormat="1" ht="36.75" customHeight="1">
      <c r="A16" s="886"/>
      <c r="B16" s="361"/>
      <c r="C16" s="416"/>
      <c r="D16" s="889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23">
        <f t="shared" si="0"/>
        <v>0</v>
      </c>
    </row>
    <row r="17" spans="1:21" s="307" customFormat="1" ht="36.75" customHeight="1">
      <c r="A17" s="886"/>
      <c r="B17" s="361"/>
      <c r="C17" s="416"/>
      <c r="D17" s="889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23">
        <f t="shared" si="0"/>
        <v>0</v>
      </c>
    </row>
    <row r="18" spans="1:21" s="307" customFormat="1" ht="36.75" customHeight="1">
      <c r="A18" s="886"/>
      <c r="B18" s="361"/>
      <c r="C18" s="416"/>
      <c r="D18" s="889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23">
        <f t="shared" si="0"/>
        <v>0</v>
      </c>
    </row>
    <row r="19" spans="1:21" s="307" customFormat="1" ht="36.75" customHeight="1">
      <c r="A19" s="886"/>
      <c r="B19" s="361"/>
      <c r="C19" s="417"/>
      <c r="D19" s="889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23">
        <f t="shared" si="0"/>
        <v>0</v>
      </c>
    </row>
    <row r="20" spans="1:21" s="307" customFormat="1" ht="36.75" customHeight="1">
      <c r="A20" s="886"/>
      <c r="B20" s="361"/>
      <c r="C20" s="417"/>
      <c r="D20" s="889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23">
        <f t="shared" si="0"/>
        <v>0</v>
      </c>
    </row>
    <row r="21" spans="1:21" s="307" customFormat="1" ht="36.75" customHeight="1">
      <c r="A21" s="886"/>
      <c r="B21" s="361"/>
      <c r="C21" s="417"/>
      <c r="D21" s="889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23">
        <f t="shared" si="0"/>
        <v>0</v>
      </c>
    </row>
    <row r="22" spans="1:21" s="307" customFormat="1" ht="36.75" customHeight="1">
      <c r="A22" s="886"/>
      <c r="B22" s="361"/>
      <c r="C22" s="418"/>
      <c r="D22" s="889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23">
        <f t="shared" si="0"/>
        <v>0</v>
      </c>
    </row>
    <row r="23" spans="1:21" s="307" customFormat="1" ht="36.75" customHeight="1">
      <c r="A23" s="886"/>
      <c r="B23" s="361"/>
      <c r="C23" s="416"/>
      <c r="D23" s="889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23">
        <f t="shared" si="0"/>
        <v>0</v>
      </c>
    </row>
    <row r="24" spans="1:21" ht="36.75" customHeight="1" thickBot="1">
      <c r="A24" s="887"/>
      <c r="B24" s="365"/>
      <c r="C24" s="419"/>
      <c r="D24" s="890"/>
      <c r="E24" s="302"/>
      <c r="F24" s="302"/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3">
        <f t="shared" ref="U24" si="1">SUM(E24:S24)</f>
        <v>0</v>
      </c>
    </row>
    <row r="25" spans="1:21" s="328" customFormat="1" ht="36.75" customHeight="1" thickBot="1">
      <c r="A25" s="882" t="s">
        <v>167</v>
      </c>
      <c r="B25" s="883"/>
      <c r="C25" s="331"/>
      <c r="D25" s="332">
        <f t="shared" ref="D25:U25" si="2">SUM(D5:D24)</f>
        <v>12049769</v>
      </c>
      <c r="E25" s="333">
        <f t="shared" si="2"/>
        <v>0</v>
      </c>
      <c r="F25" s="333">
        <f t="shared" si="2"/>
        <v>0</v>
      </c>
      <c r="G25" s="333">
        <f t="shared" si="2"/>
        <v>0</v>
      </c>
      <c r="H25" s="333">
        <f t="shared" si="2"/>
        <v>0</v>
      </c>
      <c r="I25" s="333">
        <f t="shared" si="2"/>
        <v>0</v>
      </c>
      <c r="J25" s="333">
        <f t="shared" si="2"/>
        <v>0</v>
      </c>
      <c r="K25" s="333">
        <f t="shared" si="2"/>
        <v>0</v>
      </c>
      <c r="L25" s="333">
        <f t="shared" si="2"/>
        <v>0</v>
      </c>
      <c r="M25" s="333">
        <f t="shared" si="2"/>
        <v>0</v>
      </c>
      <c r="N25" s="333">
        <f t="shared" si="2"/>
        <v>0</v>
      </c>
      <c r="O25" s="333">
        <f t="shared" si="2"/>
        <v>0</v>
      </c>
      <c r="P25" s="333">
        <f t="shared" si="2"/>
        <v>0</v>
      </c>
      <c r="Q25" s="333">
        <f t="shared" si="2"/>
        <v>0</v>
      </c>
      <c r="R25" s="333">
        <f t="shared" si="2"/>
        <v>0</v>
      </c>
      <c r="S25" s="333">
        <f t="shared" si="2"/>
        <v>0</v>
      </c>
      <c r="T25" s="333">
        <f t="shared" si="2"/>
        <v>0</v>
      </c>
      <c r="U25" s="334">
        <f t="shared" si="2"/>
        <v>0</v>
      </c>
    </row>
    <row r="26" spans="1:21" s="328" customFormat="1" ht="36.75" customHeight="1" thickBot="1">
      <c r="A26" s="838" t="s">
        <v>168</v>
      </c>
      <c r="B26" s="839"/>
      <c r="C26" s="335"/>
      <c r="D26" s="336">
        <f>D25</f>
        <v>12049769</v>
      </c>
      <c r="E26" s="329">
        <f>E25</f>
        <v>0</v>
      </c>
      <c r="F26" s="329">
        <f t="shared" ref="F26:T26" si="3">E26+F25</f>
        <v>0</v>
      </c>
      <c r="G26" s="329">
        <f t="shared" si="3"/>
        <v>0</v>
      </c>
      <c r="H26" s="329">
        <f>G26+H25</f>
        <v>0</v>
      </c>
      <c r="I26" s="329">
        <f>H26+I25</f>
        <v>0</v>
      </c>
      <c r="J26" s="329">
        <f t="shared" si="3"/>
        <v>0</v>
      </c>
      <c r="K26" s="329">
        <f t="shared" si="3"/>
        <v>0</v>
      </c>
      <c r="L26" s="329">
        <f t="shared" si="3"/>
        <v>0</v>
      </c>
      <c r="M26" s="329">
        <f t="shared" si="3"/>
        <v>0</v>
      </c>
      <c r="N26" s="329">
        <f t="shared" si="3"/>
        <v>0</v>
      </c>
      <c r="O26" s="329">
        <f>N26+O25</f>
        <v>0</v>
      </c>
      <c r="P26" s="329">
        <f>O26+P25</f>
        <v>0</v>
      </c>
      <c r="Q26" s="329">
        <f>P26+Q25</f>
        <v>0</v>
      </c>
      <c r="R26" s="329">
        <f>Q26+R25</f>
        <v>0</v>
      </c>
      <c r="S26" s="329">
        <f t="shared" si="3"/>
        <v>0</v>
      </c>
      <c r="T26" s="329">
        <f t="shared" si="3"/>
        <v>0</v>
      </c>
      <c r="U26" s="330"/>
    </row>
    <row r="27" spans="1:21" ht="11.25" customHeight="1">
      <c r="A27" s="305"/>
      <c r="B27" s="305"/>
      <c r="C27" s="305"/>
      <c r="D27" s="305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</row>
  </sheetData>
  <mergeCells count="6">
    <mergeCell ref="A2:U2"/>
    <mergeCell ref="A3:U3"/>
    <mergeCell ref="A5:A24"/>
    <mergeCell ref="A25:B25"/>
    <mergeCell ref="A26:B26"/>
    <mergeCell ref="D5:D24"/>
  </mergeCells>
  <phoneticPr fontId="142" type="noConversion"/>
  <printOptions horizontalCentered="1"/>
  <pageMargins left="0.23622047244094491" right="0.19685039370078741" top="0.59055118110236227" bottom="0.35433070866141736" header="0" footer="0"/>
  <pageSetup paperSize="9" scale="55" fitToWidth="9" fitToHeight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EC58-E28C-4B6A-BBEE-3135A3A6A833}">
  <dimension ref="A1:U27"/>
  <sheetViews>
    <sheetView workbookViewId="0"/>
  </sheetViews>
  <sheetFormatPr defaultRowHeight="18.75"/>
  <cols>
    <col min="1" max="1" width="4" style="295" customWidth="1"/>
    <col min="2" max="2" width="12.625" style="295" customWidth="1"/>
    <col min="3" max="3" width="14.25" style="295" customWidth="1"/>
    <col min="4" max="4" width="13.875" style="295" bestFit="1" customWidth="1"/>
    <col min="5" max="15" width="15" style="295" customWidth="1"/>
    <col min="16" max="20" width="10.75" style="295" hidden="1" customWidth="1"/>
    <col min="21" max="21" width="13.25" style="295" customWidth="1"/>
    <col min="22" max="22" width="9" style="295"/>
    <col min="23" max="23" width="21.625" style="295" bestFit="1" customWidth="1"/>
    <col min="24" max="16384" width="9" style="295"/>
  </cols>
  <sheetData>
    <row r="1" spans="1:21" ht="11.25" customHeight="1">
      <c r="A1" s="305"/>
      <c r="B1" s="305"/>
      <c r="C1" s="305"/>
      <c r="D1" s="305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</row>
    <row r="2" spans="1:21" ht="32.25" customHeight="1">
      <c r="A2" s="851" t="s">
        <v>148</v>
      </c>
      <c r="B2" s="851"/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  <c r="P2" s="851"/>
      <c r="Q2" s="851"/>
      <c r="R2" s="851"/>
      <c r="S2" s="851"/>
      <c r="T2" s="851"/>
      <c r="U2" s="851"/>
    </row>
    <row r="3" spans="1:21" ht="32.25" customHeight="1" thickBot="1">
      <c r="A3" s="884" t="s">
        <v>450</v>
      </c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884"/>
    </row>
    <row r="4" spans="1:21" ht="36.75" customHeight="1" thickBot="1">
      <c r="A4" s="324"/>
      <c r="B4" s="325" t="s">
        <v>149</v>
      </c>
      <c r="C4" s="293" t="s">
        <v>150</v>
      </c>
      <c r="D4" s="293" t="s">
        <v>226</v>
      </c>
      <c r="E4" s="293" t="s">
        <v>419</v>
      </c>
      <c r="F4" s="293" t="s">
        <v>420</v>
      </c>
      <c r="G4" s="293"/>
      <c r="H4" s="293"/>
      <c r="I4" s="293"/>
      <c r="J4" s="293"/>
      <c r="K4" s="293"/>
      <c r="L4" s="293"/>
      <c r="M4" s="293"/>
      <c r="N4" s="293"/>
      <c r="O4" s="293"/>
      <c r="P4" s="293" t="s">
        <v>308</v>
      </c>
      <c r="Q4" s="293" t="s">
        <v>228</v>
      </c>
      <c r="R4" s="293" t="s">
        <v>229</v>
      </c>
      <c r="S4" s="293" t="s">
        <v>230</v>
      </c>
      <c r="T4" s="293" t="s">
        <v>388</v>
      </c>
      <c r="U4" s="294" t="s">
        <v>4</v>
      </c>
    </row>
    <row r="5" spans="1:21" s="307" customFormat="1" ht="36.75" customHeight="1">
      <c r="A5" s="885" t="s">
        <v>199</v>
      </c>
      <c r="B5" s="359"/>
      <c r="C5" s="424"/>
      <c r="D5" s="311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21"/>
      <c r="R5" s="313"/>
      <c r="S5" s="313"/>
      <c r="T5" s="313"/>
      <c r="U5" s="322">
        <f>SUM(E5:T5)</f>
        <v>0</v>
      </c>
    </row>
    <row r="6" spans="1:21" s="307" customFormat="1" ht="36.75" customHeight="1">
      <c r="A6" s="886"/>
      <c r="B6" s="360"/>
      <c r="C6" s="416"/>
      <c r="D6" s="309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23">
        <f>SUM(E6:T6)</f>
        <v>0</v>
      </c>
    </row>
    <row r="7" spans="1:21" s="307" customFormat="1" ht="36.75" customHeight="1">
      <c r="A7" s="886"/>
      <c r="B7" s="360"/>
      <c r="C7" s="416"/>
      <c r="D7" s="309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23">
        <f t="shared" ref="U7:U23" si="0">SUM(E7:T7)</f>
        <v>0</v>
      </c>
    </row>
    <row r="8" spans="1:21" s="307" customFormat="1" ht="36.75" customHeight="1">
      <c r="A8" s="886"/>
      <c r="B8" s="360"/>
      <c r="C8" s="416"/>
      <c r="D8" s="309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23">
        <f t="shared" si="0"/>
        <v>0</v>
      </c>
    </row>
    <row r="9" spans="1:21" s="307" customFormat="1" ht="36.75" customHeight="1">
      <c r="A9" s="886"/>
      <c r="B9" s="361"/>
      <c r="C9" s="416"/>
      <c r="D9" s="309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23">
        <f t="shared" si="0"/>
        <v>0</v>
      </c>
    </row>
    <row r="10" spans="1:21" s="307" customFormat="1" ht="36.75" customHeight="1">
      <c r="A10" s="886"/>
      <c r="B10" s="362"/>
      <c r="C10" s="416"/>
      <c r="D10" s="309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23">
        <f t="shared" si="0"/>
        <v>0</v>
      </c>
    </row>
    <row r="11" spans="1:21" s="307" customFormat="1" ht="36.75" customHeight="1">
      <c r="A11" s="886"/>
      <c r="B11" s="361"/>
      <c r="C11" s="416"/>
      <c r="D11" s="309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23">
        <f t="shared" si="0"/>
        <v>0</v>
      </c>
    </row>
    <row r="12" spans="1:21" s="307" customFormat="1" ht="36.75" customHeight="1">
      <c r="A12" s="886"/>
      <c r="B12" s="362"/>
      <c r="C12" s="416"/>
      <c r="D12" s="309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23">
        <f t="shared" si="0"/>
        <v>0</v>
      </c>
    </row>
    <row r="13" spans="1:21" s="307" customFormat="1" ht="36.75" customHeight="1">
      <c r="A13" s="886"/>
      <c r="B13" s="363"/>
      <c r="C13" s="416"/>
      <c r="D13" s="309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23">
        <f t="shared" si="0"/>
        <v>0</v>
      </c>
    </row>
    <row r="14" spans="1:21" s="307" customFormat="1" ht="36.75" customHeight="1">
      <c r="A14" s="886"/>
      <c r="B14" s="364"/>
      <c r="C14" s="416"/>
      <c r="D14" s="309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23">
        <f t="shared" si="0"/>
        <v>0</v>
      </c>
    </row>
    <row r="15" spans="1:21" s="307" customFormat="1" ht="36.75" customHeight="1">
      <c r="A15" s="886"/>
      <c r="B15" s="361"/>
      <c r="C15" s="416"/>
      <c r="D15" s="309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23">
        <f t="shared" si="0"/>
        <v>0</v>
      </c>
    </row>
    <row r="16" spans="1:21" s="307" customFormat="1" ht="36.75" customHeight="1">
      <c r="A16" s="886"/>
      <c r="B16" s="361"/>
      <c r="C16" s="416"/>
      <c r="D16" s="309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23">
        <f t="shared" si="0"/>
        <v>0</v>
      </c>
    </row>
    <row r="17" spans="1:21" s="307" customFormat="1" ht="36.75" customHeight="1">
      <c r="A17" s="886"/>
      <c r="B17" s="361"/>
      <c r="C17" s="416"/>
      <c r="D17" s="309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23">
        <f t="shared" si="0"/>
        <v>0</v>
      </c>
    </row>
    <row r="18" spans="1:21" s="307" customFormat="1" ht="36.75" customHeight="1">
      <c r="A18" s="886"/>
      <c r="B18" s="361"/>
      <c r="C18" s="416"/>
      <c r="D18" s="309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23">
        <f t="shared" si="0"/>
        <v>0</v>
      </c>
    </row>
    <row r="19" spans="1:21" s="307" customFormat="1" ht="36.75" customHeight="1">
      <c r="A19" s="886"/>
      <c r="B19" s="361"/>
      <c r="C19" s="417"/>
      <c r="D19" s="309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23">
        <f t="shared" si="0"/>
        <v>0</v>
      </c>
    </row>
    <row r="20" spans="1:21" s="307" customFormat="1" ht="36.75" customHeight="1">
      <c r="A20" s="886"/>
      <c r="B20" s="361"/>
      <c r="C20" s="417"/>
      <c r="D20" s="309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23">
        <f t="shared" si="0"/>
        <v>0</v>
      </c>
    </row>
    <row r="21" spans="1:21" s="307" customFormat="1" ht="36.75" customHeight="1">
      <c r="A21" s="886"/>
      <c r="B21" s="361"/>
      <c r="C21" s="417"/>
      <c r="D21" s="309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23">
        <f t="shared" si="0"/>
        <v>0</v>
      </c>
    </row>
    <row r="22" spans="1:21" s="307" customFormat="1" ht="36.75" customHeight="1">
      <c r="A22" s="886"/>
      <c r="B22" s="361"/>
      <c r="C22" s="418"/>
      <c r="D22" s="309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23">
        <f t="shared" si="0"/>
        <v>0</v>
      </c>
    </row>
    <row r="23" spans="1:21" s="307" customFormat="1" ht="36.75" customHeight="1">
      <c r="A23" s="886"/>
      <c r="B23" s="361"/>
      <c r="C23" s="416"/>
      <c r="D23" s="309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23">
        <f t="shared" si="0"/>
        <v>0</v>
      </c>
    </row>
    <row r="24" spans="1:21" ht="36.75" customHeight="1" thickBot="1">
      <c r="A24" s="887"/>
      <c r="B24" s="365"/>
      <c r="C24" s="419"/>
      <c r="D24" s="320"/>
      <c r="E24" s="302"/>
      <c r="F24" s="302"/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3">
        <f t="shared" ref="U24" si="1">SUM(E24:S24)</f>
        <v>0</v>
      </c>
    </row>
    <row r="25" spans="1:21" s="328" customFormat="1" ht="36.75" customHeight="1" thickBot="1">
      <c r="A25" s="882" t="s">
        <v>167</v>
      </c>
      <c r="B25" s="883"/>
      <c r="C25" s="331"/>
      <c r="D25" s="332">
        <f t="shared" ref="D25:U25" si="2">SUM(D5:D24)</f>
        <v>0</v>
      </c>
      <c r="E25" s="333">
        <f t="shared" si="2"/>
        <v>0</v>
      </c>
      <c r="F25" s="333">
        <f t="shared" si="2"/>
        <v>0</v>
      </c>
      <c r="G25" s="333">
        <f t="shared" si="2"/>
        <v>0</v>
      </c>
      <c r="H25" s="333">
        <f t="shared" si="2"/>
        <v>0</v>
      </c>
      <c r="I25" s="333">
        <f t="shared" si="2"/>
        <v>0</v>
      </c>
      <c r="J25" s="333">
        <f t="shared" si="2"/>
        <v>0</v>
      </c>
      <c r="K25" s="333">
        <f t="shared" si="2"/>
        <v>0</v>
      </c>
      <c r="L25" s="333">
        <f t="shared" si="2"/>
        <v>0</v>
      </c>
      <c r="M25" s="333">
        <f t="shared" si="2"/>
        <v>0</v>
      </c>
      <c r="N25" s="333">
        <f t="shared" si="2"/>
        <v>0</v>
      </c>
      <c r="O25" s="333">
        <f t="shared" si="2"/>
        <v>0</v>
      </c>
      <c r="P25" s="333">
        <f t="shared" si="2"/>
        <v>0</v>
      </c>
      <c r="Q25" s="333">
        <f t="shared" si="2"/>
        <v>0</v>
      </c>
      <c r="R25" s="333">
        <f t="shared" si="2"/>
        <v>0</v>
      </c>
      <c r="S25" s="333">
        <f t="shared" si="2"/>
        <v>0</v>
      </c>
      <c r="T25" s="333">
        <f t="shared" si="2"/>
        <v>0</v>
      </c>
      <c r="U25" s="334">
        <f t="shared" si="2"/>
        <v>0</v>
      </c>
    </row>
    <row r="26" spans="1:21" s="328" customFormat="1" ht="36.75" customHeight="1" thickBot="1">
      <c r="A26" s="838" t="s">
        <v>168</v>
      </c>
      <c r="B26" s="839"/>
      <c r="C26" s="335"/>
      <c r="D26" s="336">
        <f>D25</f>
        <v>0</v>
      </c>
      <c r="E26" s="329">
        <f>E25</f>
        <v>0</v>
      </c>
      <c r="F26" s="329">
        <f t="shared" ref="F26:T26" si="3">E26+F25</f>
        <v>0</v>
      </c>
      <c r="G26" s="329">
        <f t="shared" si="3"/>
        <v>0</v>
      </c>
      <c r="H26" s="329">
        <f>G26+H25</f>
        <v>0</v>
      </c>
      <c r="I26" s="329">
        <f>H26+I25</f>
        <v>0</v>
      </c>
      <c r="J26" s="329">
        <f t="shared" si="3"/>
        <v>0</v>
      </c>
      <c r="K26" s="329">
        <f t="shared" si="3"/>
        <v>0</v>
      </c>
      <c r="L26" s="329">
        <f t="shared" si="3"/>
        <v>0</v>
      </c>
      <c r="M26" s="329">
        <f t="shared" si="3"/>
        <v>0</v>
      </c>
      <c r="N26" s="329">
        <f t="shared" si="3"/>
        <v>0</v>
      </c>
      <c r="O26" s="329">
        <f>N26+O25</f>
        <v>0</v>
      </c>
      <c r="P26" s="329">
        <f>O26+P25</f>
        <v>0</v>
      </c>
      <c r="Q26" s="329">
        <f>P26+Q25</f>
        <v>0</v>
      </c>
      <c r="R26" s="329">
        <f>Q26+R25</f>
        <v>0</v>
      </c>
      <c r="S26" s="329">
        <f t="shared" si="3"/>
        <v>0</v>
      </c>
      <c r="T26" s="329">
        <f t="shared" si="3"/>
        <v>0</v>
      </c>
      <c r="U26" s="330"/>
    </row>
    <row r="27" spans="1:21" ht="11.25" customHeight="1">
      <c r="A27" s="305"/>
      <c r="B27" s="305"/>
      <c r="C27" s="305"/>
      <c r="D27" s="305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</row>
  </sheetData>
  <mergeCells count="5">
    <mergeCell ref="A2:U2"/>
    <mergeCell ref="A3:U3"/>
    <mergeCell ref="A5:A24"/>
    <mergeCell ref="A25:B25"/>
    <mergeCell ref="A26:B26"/>
  </mergeCells>
  <phoneticPr fontId="142" type="noConversion"/>
  <printOptions horizontalCentered="1"/>
  <pageMargins left="0.23622047244094491" right="0.19685039370078741" top="0.59055118110236227" bottom="0.35433070866141736" header="0" footer="0"/>
  <pageSetup paperSize="9" scale="55" fitToWidth="9" fitToHeight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E9A3-A13C-4F00-84DB-A373B520A2A6}">
  <dimension ref="A1:U27"/>
  <sheetViews>
    <sheetView workbookViewId="0"/>
  </sheetViews>
  <sheetFormatPr defaultRowHeight="18.75"/>
  <cols>
    <col min="1" max="1" width="4" style="295" customWidth="1"/>
    <col min="2" max="2" width="12.625" style="295" customWidth="1"/>
    <col min="3" max="3" width="14.25" style="295" customWidth="1"/>
    <col min="4" max="4" width="13.875" style="295" bestFit="1" customWidth="1"/>
    <col min="5" max="15" width="15" style="295" customWidth="1"/>
    <col min="16" max="20" width="10.75" style="295" hidden="1" customWidth="1"/>
    <col min="21" max="21" width="13.25" style="295" customWidth="1"/>
    <col min="22" max="22" width="9" style="295"/>
    <col min="23" max="23" width="21.625" style="295" bestFit="1" customWidth="1"/>
    <col min="24" max="16384" width="9" style="295"/>
  </cols>
  <sheetData>
    <row r="1" spans="1:21" ht="11.25" customHeight="1">
      <c r="A1" s="305"/>
      <c r="B1" s="305"/>
      <c r="C1" s="305"/>
      <c r="D1" s="305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</row>
    <row r="2" spans="1:21" ht="32.25" customHeight="1">
      <c r="A2" s="851" t="s">
        <v>148</v>
      </c>
      <c r="B2" s="851"/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  <c r="P2" s="851"/>
      <c r="Q2" s="851"/>
      <c r="R2" s="851"/>
      <c r="S2" s="851"/>
      <c r="T2" s="851"/>
      <c r="U2" s="851"/>
    </row>
    <row r="3" spans="1:21" ht="32.25" customHeight="1" thickBot="1">
      <c r="A3" s="884" t="s">
        <v>449</v>
      </c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884"/>
    </row>
    <row r="4" spans="1:21" ht="36.75" customHeight="1" thickBot="1">
      <c r="A4" s="324"/>
      <c r="B4" s="325" t="s">
        <v>149</v>
      </c>
      <c r="C4" s="293" t="s">
        <v>150</v>
      </c>
      <c r="D4" s="293" t="s">
        <v>226</v>
      </c>
      <c r="E4" s="293" t="s">
        <v>419</v>
      </c>
      <c r="F4" s="293" t="s">
        <v>420</v>
      </c>
      <c r="G4" s="293"/>
      <c r="H4" s="293"/>
      <c r="I4" s="293"/>
      <c r="J4" s="293"/>
      <c r="K4" s="293"/>
      <c r="L4" s="293"/>
      <c r="M4" s="293"/>
      <c r="N4" s="293"/>
      <c r="O4" s="293"/>
      <c r="P4" s="293" t="s">
        <v>308</v>
      </c>
      <c r="Q4" s="293" t="s">
        <v>228</v>
      </c>
      <c r="R4" s="293" t="s">
        <v>229</v>
      </c>
      <c r="S4" s="293" t="s">
        <v>230</v>
      </c>
      <c r="T4" s="293" t="s">
        <v>388</v>
      </c>
      <c r="U4" s="294" t="s">
        <v>4</v>
      </c>
    </row>
    <row r="5" spans="1:21" s="307" customFormat="1" ht="36.75" customHeight="1">
      <c r="A5" s="885" t="s">
        <v>199</v>
      </c>
      <c r="B5" s="359" t="s">
        <v>435</v>
      </c>
      <c r="C5" s="424" t="s">
        <v>437</v>
      </c>
      <c r="D5" s="888">
        <v>90855500</v>
      </c>
      <c r="E5" s="312"/>
      <c r="F5" s="312">
        <v>32800000</v>
      </c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21"/>
      <c r="R5" s="313"/>
      <c r="S5" s="313"/>
      <c r="T5" s="313"/>
      <c r="U5" s="322">
        <f>SUM(E5:T5)</f>
        <v>32800000</v>
      </c>
    </row>
    <row r="6" spans="1:21" s="307" customFormat="1" ht="36.75" customHeight="1">
      <c r="A6" s="886"/>
      <c r="B6" s="360" t="s">
        <v>439</v>
      </c>
      <c r="C6" s="416" t="s">
        <v>441</v>
      </c>
      <c r="D6" s="889"/>
      <c r="E6" s="310"/>
      <c r="F6" s="310">
        <v>33000000</v>
      </c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23">
        <f>SUM(E6:T6)</f>
        <v>33000000</v>
      </c>
    </row>
    <row r="7" spans="1:21" s="307" customFormat="1" ht="36.75" customHeight="1">
      <c r="A7" s="886"/>
      <c r="B7" s="360" t="s">
        <v>443</v>
      </c>
      <c r="C7" s="416" t="s">
        <v>445</v>
      </c>
      <c r="D7" s="889"/>
      <c r="E7" s="310"/>
      <c r="F7" s="310">
        <v>300000</v>
      </c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23">
        <f t="shared" ref="U7:U23" si="0">SUM(E7:T7)</f>
        <v>300000</v>
      </c>
    </row>
    <row r="8" spans="1:21" s="307" customFormat="1" ht="36.75" customHeight="1">
      <c r="A8" s="886"/>
      <c r="B8" s="360" t="s">
        <v>459</v>
      </c>
      <c r="C8" s="416" t="s">
        <v>461</v>
      </c>
      <c r="D8" s="889"/>
      <c r="E8" s="310"/>
      <c r="F8" s="310">
        <v>30000000</v>
      </c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23">
        <f t="shared" si="0"/>
        <v>30000000</v>
      </c>
    </row>
    <row r="9" spans="1:21" s="307" customFormat="1" ht="36.75" customHeight="1">
      <c r="A9" s="886"/>
      <c r="B9" s="361" t="s">
        <v>463</v>
      </c>
      <c r="C9" s="416" t="s">
        <v>465</v>
      </c>
      <c r="D9" s="889"/>
      <c r="E9" s="310"/>
      <c r="F9" s="310">
        <v>600000</v>
      </c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23">
        <f t="shared" si="0"/>
        <v>600000</v>
      </c>
    </row>
    <row r="10" spans="1:21" s="307" customFormat="1" ht="36.75" customHeight="1">
      <c r="A10" s="886"/>
      <c r="B10" s="360" t="s">
        <v>459</v>
      </c>
      <c r="C10" s="416" t="s">
        <v>461</v>
      </c>
      <c r="D10" s="889"/>
      <c r="E10" s="310"/>
      <c r="F10" s="310">
        <v>2605000</v>
      </c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23">
        <f t="shared" si="0"/>
        <v>2605000</v>
      </c>
    </row>
    <row r="11" spans="1:21" s="307" customFormat="1" ht="36.75" customHeight="1">
      <c r="A11" s="886"/>
      <c r="B11" s="361" t="s">
        <v>467</v>
      </c>
      <c r="C11" s="416" t="s">
        <v>469</v>
      </c>
      <c r="D11" s="889"/>
      <c r="E11" s="310"/>
      <c r="F11" s="310">
        <v>2200000</v>
      </c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23">
        <f t="shared" si="0"/>
        <v>2200000</v>
      </c>
    </row>
    <row r="12" spans="1:21" s="307" customFormat="1" ht="36.75" customHeight="1">
      <c r="A12" s="886"/>
      <c r="B12" s="362"/>
      <c r="C12" s="412"/>
      <c r="D12" s="889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23">
        <f t="shared" si="0"/>
        <v>0</v>
      </c>
    </row>
    <row r="13" spans="1:21" s="307" customFormat="1" ht="36.75" customHeight="1">
      <c r="A13" s="886"/>
      <c r="B13" s="363"/>
      <c r="C13" s="412"/>
      <c r="D13" s="889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23">
        <f t="shared" si="0"/>
        <v>0</v>
      </c>
    </row>
    <row r="14" spans="1:21" s="307" customFormat="1" ht="36.75" customHeight="1">
      <c r="A14" s="886"/>
      <c r="B14" s="364"/>
      <c r="C14" s="412"/>
      <c r="D14" s="889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23">
        <f t="shared" si="0"/>
        <v>0</v>
      </c>
    </row>
    <row r="15" spans="1:21" s="307" customFormat="1" ht="36.75" customHeight="1">
      <c r="A15" s="886"/>
      <c r="B15" s="361"/>
      <c r="C15" s="412"/>
      <c r="D15" s="889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23">
        <f t="shared" si="0"/>
        <v>0</v>
      </c>
    </row>
    <row r="16" spans="1:21" s="307" customFormat="1" ht="36.75" customHeight="1">
      <c r="A16" s="886"/>
      <c r="B16" s="361"/>
      <c r="C16" s="412"/>
      <c r="D16" s="889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23">
        <f t="shared" si="0"/>
        <v>0</v>
      </c>
    </row>
    <row r="17" spans="1:21" s="307" customFormat="1" ht="36.75" customHeight="1">
      <c r="A17" s="886"/>
      <c r="B17" s="361"/>
      <c r="C17" s="412"/>
      <c r="D17" s="889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23">
        <f t="shared" si="0"/>
        <v>0</v>
      </c>
    </row>
    <row r="18" spans="1:21" s="307" customFormat="1" ht="36.75" customHeight="1">
      <c r="A18" s="886"/>
      <c r="B18" s="361"/>
      <c r="C18" s="412"/>
      <c r="D18" s="889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23">
        <f t="shared" si="0"/>
        <v>0</v>
      </c>
    </row>
    <row r="19" spans="1:21" s="307" customFormat="1" ht="36.75" customHeight="1">
      <c r="A19" s="886"/>
      <c r="B19" s="361"/>
      <c r="C19" s="413"/>
      <c r="D19" s="889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23">
        <f t="shared" si="0"/>
        <v>0</v>
      </c>
    </row>
    <row r="20" spans="1:21" s="307" customFormat="1" ht="36.75" customHeight="1">
      <c r="A20" s="886"/>
      <c r="B20" s="361"/>
      <c r="C20" s="413"/>
      <c r="D20" s="889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23">
        <f t="shared" si="0"/>
        <v>0</v>
      </c>
    </row>
    <row r="21" spans="1:21" s="307" customFormat="1" ht="36.75" customHeight="1">
      <c r="A21" s="886"/>
      <c r="B21" s="361"/>
      <c r="C21" s="413"/>
      <c r="D21" s="889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23">
        <f t="shared" si="0"/>
        <v>0</v>
      </c>
    </row>
    <row r="22" spans="1:21" s="307" customFormat="1" ht="36.75" customHeight="1">
      <c r="A22" s="886"/>
      <c r="B22" s="361"/>
      <c r="C22" s="318"/>
      <c r="D22" s="889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23">
        <f t="shared" si="0"/>
        <v>0</v>
      </c>
    </row>
    <row r="23" spans="1:21" s="307" customFormat="1" ht="36.75" customHeight="1">
      <c r="A23" s="886"/>
      <c r="B23" s="361"/>
      <c r="C23" s="412"/>
      <c r="D23" s="889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23">
        <f t="shared" si="0"/>
        <v>0</v>
      </c>
    </row>
    <row r="24" spans="1:21" ht="36.75" customHeight="1" thickBot="1">
      <c r="A24" s="887"/>
      <c r="B24" s="365"/>
      <c r="C24" s="414"/>
      <c r="D24" s="890"/>
      <c r="E24" s="302"/>
      <c r="F24" s="302"/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3">
        <f t="shared" ref="U24" si="1">SUM(E24:S24)</f>
        <v>0</v>
      </c>
    </row>
    <row r="25" spans="1:21" s="328" customFormat="1" ht="36.75" customHeight="1" thickBot="1">
      <c r="A25" s="882" t="s">
        <v>167</v>
      </c>
      <c r="B25" s="883"/>
      <c r="C25" s="331"/>
      <c r="D25" s="332">
        <f t="shared" ref="D25:U25" si="2">SUM(D5:D24)</f>
        <v>90855500</v>
      </c>
      <c r="E25" s="333">
        <f t="shared" si="2"/>
        <v>0</v>
      </c>
      <c r="F25" s="333">
        <f t="shared" si="2"/>
        <v>101505000</v>
      </c>
      <c r="G25" s="333">
        <f t="shared" si="2"/>
        <v>0</v>
      </c>
      <c r="H25" s="333">
        <f t="shared" si="2"/>
        <v>0</v>
      </c>
      <c r="I25" s="333">
        <f t="shared" si="2"/>
        <v>0</v>
      </c>
      <c r="J25" s="333">
        <f t="shared" si="2"/>
        <v>0</v>
      </c>
      <c r="K25" s="333">
        <f t="shared" si="2"/>
        <v>0</v>
      </c>
      <c r="L25" s="333">
        <f t="shared" si="2"/>
        <v>0</v>
      </c>
      <c r="M25" s="333">
        <f t="shared" si="2"/>
        <v>0</v>
      </c>
      <c r="N25" s="333">
        <f t="shared" si="2"/>
        <v>0</v>
      </c>
      <c r="O25" s="333">
        <f t="shared" si="2"/>
        <v>0</v>
      </c>
      <c r="P25" s="333">
        <f t="shared" si="2"/>
        <v>0</v>
      </c>
      <c r="Q25" s="333">
        <f t="shared" si="2"/>
        <v>0</v>
      </c>
      <c r="R25" s="333">
        <f t="shared" si="2"/>
        <v>0</v>
      </c>
      <c r="S25" s="333">
        <f t="shared" si="2"/>
        <v>0</v>
      </c>
      <c r="T25" s="333">
        <f t="shared" si="2"/>
        <v>0</v>
      </c>
      <c r="U25" s="334">
        <f t="shared" si="2"/>
        <v>101505000</v>
      </c>
    </row>
    <row r="26" spans="1:21" s="328" customFormat="1" ht="36.75" customHeight="1" thickBot="1">
      <c r="A26" s="838" t="s">
        <v>168</v>
      </c>
      <c r="B26" s="839"/>
      <c r="C26" s="335"/>
      <c r="D26" s="336">
        <f>D25</f>
        <v>90855500</v>
      </c>
      <c r="E26" s="329">
        <f>E25</f>
        <v>0</v>
      </c>
      <c r="F26" s="329">
        <f t="shared" ref="F26:T26" si="3">E26+F25</f>
        <v>101505000</v>
      </c>
      <c r="G26" s="329">
        <f t="shared" si="3"/>
        <v>101505000</v>
      </c>
      <c r="H26" s="329">
        <f>G26+H25</f>
        <v>101505000</v>
      </c>
      <c r="I26" s="329">
        <f>H26+I25</f>
        <v>101505000</v>
      </c>
      <c r="J26" s="329">
        <f t="shared" si="3"/>
        <v>101505000</v>
      </c>
      <c r="K26" s="329">
        <f t="shared" si="3"/>
        <v>101505000</v>
      </c>
      <c r="L26" s="329">
        <f t="shared" si="3"/>
        <v>101505000</v>
      </c>
      <c r="M26" s="329">
        <f t="shared" si="3"/>
        <v>101505000</v>
      </c>
      <c r="N26" s="329">
        <f t="shared" si="3"/>
        <v>101505000</v>
      </c>
      <c r="O26" s="329">
        <f>N26+O25</f>
        <v>101505000</v>
      </c>
      <c r="P26" s="329">
        <f>O26+P25</f>
        <v>101505000</v>
      </c>
      <c r="Q26" s="329">
        <f>P26+Q25</f>
        <v>101505000</v>
      </c>
      <c r="R26" s="329">
        <f>Q26+R25</f>
        <v>101505000</v>
      </c>
      <c r="S26" s="329">
        <f t="shared" si="3"/>
        <v>101505000</v>
      </c>
      <c r="T26" s="329">
        <f t="shared" si="3"/>
        <v>101505000</v>
      </c>
      <c r="U26" s="330"/>
    </row>
    <row r="27" spans="1:21" ht="11.25" customHeight="1">
      <c r="A27" s="305"/>
      <c r="B27" s="305"/>
      <c r="C27" s="305"/>
      <c r="D27" s="305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</row>
  </sheetData>
  <mergeCells count="6">
    <mergeCell ref="A2:U2"/>
    <mergeCell ref="A3:U3"/>
    <mergeCell ref="A5:A24"/>
    <mergeCell ref="A25:B25"/>
    <mergeCell ref="A26:B26"/>
    <mergeCell ref="D5:D24"/>
  </mergeCells>
  <phoneticPr fontId="142" type="noConversion"/>
  <printOptions horizontalCentered="1"/>
  <pageMargins left="0.23622047244094491" right="0.19685039370078741" top="0.59055118110236227" bottom="0.35433070866141736" header="0" footer="0"/>
  <pageSetup paperSize="9" scale="55" fitToWidth="9" fitToHeight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2CB2-36C5-43D6-9803-958F6A2B4F96}">
  <dimension ref="A1:U30"/>
  <sheetViews>
    <sheetView workbookViewId="0"/>
  </sheetViews>
  <sheetFormatPr defaultRowHeight="18.75"/>
  <cols>
    <col min="1" max="1" width="4" style="295" customWidth="1"/>
    <col min="2" max="2" width="12.625" style="295" customWidth="1"/>
    <col min="3" max="3" width="14.25" style="295" customWidth="1"/>
    <col min="4" max="4" width="13.875" style="295" bestFit="1" customWidth="1"/>
    <col min="5" max="15" width="15" style="295" customWidth="1"/>
    <col min="16" max="20" width="10.75" style="295" hidden="1" customWidth="1"/>
    <col min="21" max="21" width="13.25" style="295" customWidth="1"/>
    <col min="22" max="22" width="9" style="295"/>
    <col min="23" max="23" width="21.625" style="295" bestFit="1" customWidth="1"/>
    <col min="24" max="16384" width="9" style="295"/>
  </cols>
  <sheetData>
    <row r="1" spans="1:21" ht="11.25" customHeight="1">
      <c r="A1" s="305"/>
      <c r="B1" s="305"/>
      <c r="C1" s="305"/>
      <c r="D1" s="305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</row>
    <row r="2" spans="1:21" ht="32.25" customHeight="1">
      <c r="A2" s="895" t="s">
        <v>148</v>
      </c>
      <c r="B2" s="895"/>
      <c r="C2" s="895"/>
      <c r="D2" s="895"/>
      <c r="E2" s="895"/>
      <c r="F2" s="895"/>
      <c r="G2" s="895"/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5"/>
      <c r="U2" s="895"/>
    </row>
    <row r="3" spans="1:21" ht="32.25" customHeight="1" thickBot="1">
      <c r="A3" s="896" t="s">
        <v>448</v>
      </c>
      <c r="B3" s="896"/>
      <c r="C3" s="896"/>
      <c r="D3" s="896"/>
      <c r="E3" s="896"/>
      <c r="F3" s="896"/>
      <c r="G3" s="896"/>
      <c r="H3" s="896"/>
      <c r="I3" s="896"/>
      <c r="J3" s="896"/>
      <c r="K3" s="896"/>
      <c r="L3" s="896"/>
      <c r="M3" s="896"/>
      <c r="N3" s="896"/>
      <c r="O3" s="896"/>
      <c r="P3" s="896"/>
      <c r="Q3" s="896"/>
      <c r="R3" s="896"/>
      <c r="S3" s="896"/>
      <c r="T3" s="896"/>
      <c r="U3" s="896"/>
    </row>
    <row r="4" spans="1:21" ht="36.75" customHeight="1" thickBot="1">
      <c r="A4" s="324"/>
      <c r="B4" s="325" t="s">
        <v>149</v>
      </c>
      <c r="C4" s="293" t="s">
        <v>153</v>
      </c>
      <c r="D4" s="293" t="s">
        <v>226</v>
      </c>
      <c r="E4" s="293" t="s">
        <v>419</v>
      </c>
      <c r="F4" s="293" t="s">
        <v>420</v>
      </c>
      <c r="G4" s="293"/>
      <c r="H4" s="293"/>
      <c r="I4" s="293"/>
      <c r="J4" s="293"/>
      <c r="K4" s="293"/>
      <c r="L4" s="293"/>
      <c r="M4" s="293"/>
      <c r="N4" s="293"/>
      <c r="O4" s="293"/>
      <c r="P4" s="293" t="s">
        <v>308</v>
      </c>
      <c r="Q4" s="293" t="s">
        <v>228</v>
      </c>
      <c r="R4" s="293" t="s">
        <v>229</v>
      </c>
      <c r="S4" s="293" t="s">
        <v>230</v>
      </c>
      <c r="T4" s="293" t="s">
        <v>388</v>
      </c>
      <c r="U4" s="294" t="s">
        <v>4</v>
      </c>
    </row>
    <row r="5" spans="1:21" s="307" customFormat="1" ht="35.1" customHeight="1">
      <c r="A5" s="897" t="s">
        <v>199</v>
      </c>
      <c r="B5" s="366" t="s">
        <v>422</v>
      </c>
      <c r="C5" s="420" t="s">
        <v>424</v>
      </c>
      <c r="D5" s="904">
        <v>1000000</v>
      </c>
      <c r="E5" s="345">
        <v>220000</v>
      </c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6">
        <f>SUM(E5:T5)</f>
        <v>220000</v>
      </c>
    </row>
    <row r="6" spans="1:21" s="307" customFormat="1" ht="35.1" customHeight="1">
      <c r="A6" s="898"/>
      <c r="B6" s="367" t="s">
        <v>431</v>
      </c>
      <c r="C6" s="421" t="s">
        <v>433</v>
      </c>
      <c r="D6" s="905"/>
      <c r="E6" s="340">
        <v>270500</v>
      </c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7">
        <f>SUM(E6:T6)</f>
        <v>270500</v>
      </c>
    </row>
    <row r="7" spans="1:21" s="307" customFormat="1" ht="35.1" customHeight="1">
      <c r="A7" s="898"/>
      <c r="B7" s="367"/>
      <c r="C7" s="421"/>
      <c r="D7" s="905"/>
      <c r="E7" s="340"/>
      <c r="F7" s="340"/>
      <c r="G7" s="340"/>
      <c r="H7" s="340"/>
      <c r="I7" s="340"/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7">
        <f t="shared" ref="U7:U23" si="0">SUM(E7:T7)</f>
        <v>0</v>
      </c>
    </row>
    <row r="8" spans="1:21" s="307" customFormat="1" ht="35.1" customHeight="1">
      <c r="A8" s="898"/>
      <c r="B8" s="367"/>
      <c r="C8" s="421"/>
      <c r="D8" s="905"/>
      <c r="E8" s="340"/>
      <c r="F8" s="340"/>
      <c r="G8" s="340"/>
      <c r="H8" s="340"/>
      <c r="I8" s="340"/>
      <c r="J8" s="340"/>
      <c r="K8" s="340"/>
      <c r="L8" s="340"/>
      <c r="M8" s="340"/>
      <c r="N8" s="340"/>
      <c r="O8" s="340"/>
      <c r="P8" s="340"/>
      <c r="Q8" s="340"/>
      <c r="R8" s="340"/>
      <c r="S8" s="340"/>
      <c r="T8" s="340"/>
      <c r="U8" s="347">
        <f t="shared" si="0"/>
        <v>0</v>
      </c>
    </row>
    <row r="9" spans="1:21" s="307" customFormat="1" ht="35.1" customHeight="1">
      <c r="A9" s="899"/>
      <c r="B9" s="367"/>
      <c r="C9" s="421"/>
      <c r="D9" s="905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40"/>
      <c r="P9" s="340"/>
      <c r="Q9" s="340"/>
      <c r="R9" s="340"/>
      <c r="S9" s="340"/>
      <c r="T9" s="340"/>
      <c r="U9" s="347">
        <f t="shared" si="0"/>
        <v>0</v>
      </c>
    </row>
    <row r="10" spans="1:21" s="307" customFormat="1" ht="35.1" customHeight="1">
      <c r="A10" s="899"/>
      <c r="B10" s="368"/>
      <c r="C10" s="421"/>
      <c r="D10" s="905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  <c r="R10" s="340"/>
      <c r="S10" s="340"/>
      <c r="T10" s="340"/>
      <c r="U10" s="347">
        <f t="shared" si="0"/>
        <v>0</v>
      </c>
    </row>
    <row r="11" spans="1:21" s="307" customFormat="1" ht="35.1" customHeight="1">
      <c r="A11" s="899"/>
      <c r="B11" s="369"/>
      <c r="C11" s="422"/>
      <c r="D11" s="905"/>
      <c r="E11" s="340"/>
      <c r="F11" s="340"/>
      <c r="G11" s="340"/>
      <c r="H11" s="340"/>
      <c r="I11" s="340"/>
      <c r="J11" s="340"/>
      <c r="K11" s="340"/>
      <c r="L11" s="340"/>
      <c r="M11" s="340"/>
      <c r="N11" s="340"/>
      <c r="O11" s="340"/>
      <c r="P11" s="340"/>
      <c r="Q11" s="340"/>
      <c r="R11" s="340"/>
      <c r="S11" s="340"/>
      <c r="T11" s="340"/>
      <c r="U11" s="347">
        <f t="shared" si="0"/>
        <v>0</v>
      </c>
    </row>
    <row r="12" spans="1:21" s="307" customFormat="1" ht="35.1" customHeight="1">
      <c r="A12" s="899"/>
      <c r="B12" s="369"/>
      <c r="C12" s="422"/>
      <c r="D12" s="905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  <c r="R12" s="340"/>
      <c r="S12" s="340"/>
      <c r="T12" s="340"/>
      <c r="U12" s="347">
        <f t="shared" si="0"/>
        <v>0</v>
      </c>
    </row>
    <row r="13" spans="1:21" s="307" customFormat="1" ht="35.1" customHeight="1">
      <c r="A13" s="899"/>
      <c r="B13" s="369"/>
      <c r="C13" s="422"/>
      <c r="D13" s="905"/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7">
        <f t="shared" si="0"/>
        <v>0</v>
      </c>
    </row>
    <row r="14" spans="1:21" s="307" customFormat="1" ht="35.1" customHeight="1">
      <c r="A14" s="899"/>
      <c r="B14" s="370"/>
      <c r="C14" s="422"/>
      <c r="D14" s="905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  <c r="P14" s="340"/>
      <c r="Q14" s="340"/>
      <c r="R14" s="340"/>
      <c r="S14" s="340"/>
      <c r="T14" s="340"/>
      <c r="U14" s="347">
        <f t="shared" si="0"/>
        <v>0</v>
      </c>
    </row>
    <row r="15" spans="1:21" s="307" customFormat="1" ht="35.1" customHeight="1">
      <c r="A15" s="899"/>
      <c r="B15" s="370"/>
      <c r="C15" s="423"/>
      <c r="D15" s="905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7">
        <f t="shared" si="0"/>
        <v>0</v>
      </c>
    </row>
    <row r="16" spans="1:21" s="307" customFormat="1" ht="35.1" customHeight="1">
      <c r="A16" s="899"/>
      <c r="B16" s="369"/>
      <c r="C16" s="422"/>
      <c r="D16" s="905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U16" s="347">
        <f t="shared" si="0"/>
        <v>0</v>
      </c>
    </row>
    <row r="17" spans="1:21" s="307" customFormat="1" ht="35.1" customHeight="1">
      <c r="A17" s="899"/>
      <c r="B17" s="371"/>
      <c r="C17" s="370"/>
      <c r="D17" s="905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U17" s="347">
        <f t="shared" si="0"/>
        <v>0</v>
      </c>
    </row>
    <row r="18" spans="1:21" s="307" customFormat="1" ht="35.1" customHeight="1">
      <c r="A18" s="899"/>
      <c r="B18" s="369"/>
      <c r="C18" s="423"/>
      <c r="D18" s="905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40"/>
      <c r="R18" s="340"/>
      <c r="S18" s="340"/>
      <c r="T18" s="340"/>
      <c r="U18" s="347">
        <f t="shared" si="0"/>
        <v>0</v>
      </c>
    </row>
    <row r="19" spans="1:21" s="307" customFormat="1" ht="35.1" customHeight="1">
      <c r="A19" s="899"/>
      <c r="B19" s="370"/>
      <c r="C19" s="372"/>
      <c r="D19" s="905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0"/>
      <c r="R19" s="340"/>
      <c r="S19" s="340"/>
      <c r="T19" s="340"/>
      <c r="U19" s="347">
        <f t="shared" si="0"/>
        <v>0</v>
      </c>
    </row>
    <row r="20" spans="1:21" s="307" customFormat="1" ht="35.1" customHeight="1">
      <c r="A20" s="899"/>
      <c r="B20" s="372"/>
      <c r="C20" s="372"/>
      <c r="D20" s="905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P20" s="340"/>
      <c r="Q20" s="340"/>
      <c r="R20" s="340"/>
      <c r="S20" s="340"/>
      <c r="T20" s="340"/>
      <c r="U20" s="347">
        <f t="shared" si="0"/>
        <v>0</v>
      </c>
    </row>
    <row r="21" spans="1:21" s="307" customFormat="1" ht="35.1" customHeight="1">
      <c r="A21" s="899"/>
      <c r="B21" s="372"/>
      <c r="C21" s="372"/>
      <c r="D21" s="905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P21" s="340"/>
      <c r="Q21" s="340"/>
      <c r="R21" s="340"/>
      <c r="S21" s="340"/>
      <c r="T21" s="340"/>
      <c r="U21" s="347">
        <f t="shared" si="0"/>
        <v>0</v>
      </c>
    </row>
    <row r="22" spans="1:21" s="307" customFormat="1" ht="35.1" customHeight="1">
      <c r="A22" s="899"/>
      <c r="B22" s="369"/>
      <c r="C22" s="372"/>
      <c r="D22" s="905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P22" s="340"/>
      <c r="Q22" s="340"/>
      <c r="R22" s="340"/>
      <c r="S22" s="340"/>
      <c r="T22" s="340"/>
      <c r="U22" s="347">
        <f t="shared" si="0"/>
        <v>0</v>
      </c>
    </row>
    <row r="23" spans="1:21">
      <c r="A23" s="899"/>
      <c r="B23" s="373"/>
      <c r="C23" s="373"/>
      <c r="D23" s="906"/>
      <c r="E23" s="344"/>
      <c r="F23" s="341"/>
      <c r="G23" s="341"/>
      <c r="H23" s="341"/>
      <c r="I23" s="341"/>
      <c r="J23" s="341"/>
      <c r="K23" s="341"/>
      <c r="L23" s="341"/>
      <c r="M23" s="341"/>
      <c r="N23" s="341"/>
      <c r="O23" s="341"/>
      <c r="P23" s="341"/>
      <c r="Q23" s="341"/>
      <c r="R23" s="341"/>
      <c r="S23" s="341"/>
      <c r="T23" s="341"/>
      <c r="U23" s="347">
        <f t="shared" si="0"/>
        <v>0</v>
      </c>
    </row>
    <row r="24" spans="1:21">
      <c r="A24" s="899"/>
      <c r="B24" s="893" t="s">
        <v>220</v>
      </c>
      <c r="C24" s="894"/>
      <c r="D24" s="348">
        <f t="shared" ref="D24:U24" si="1">SUM(D5:D23)</f>
        <v>1000000</v>
      </c>
      <c r="E24" s="348">
        <f t="shared" si="1"/>
        <v>490500</v>
      </c>
      <c r="F24" s="348">
        <f t="shared" si="1"/>
        <v>0</v>
      </c>
      <c r="G24" s="348">
        <f t="shared" si="1"/>
        <v>0</v>
      </c>
      <c r="H24" s="348">
        <f t="shared" si="1"/>
        <v>0</v>
      </c>
      <c r="I24" s="348">
        <f t="shared" si="1"/>
        <v>0</v>
      </c>
      <c r="J24" s="348">
        <f t="shared" si="1"/>
        <v>0</v>
      </c>
      <c r="K24" s="348">
        <f t="shared" si="1"/>
        <v>0</v>
      </c>
      <c r="L24" s="348">
        <f t="shared" si="1"/>
        <v>0</v>
      </c>
      <c r="M24" s="348">
        <f t="shared" si="1"/>
        <v>0</v>
      </c>
      <c r="N24" s="348">
        <f t="shared" si="1"/>
        <v>0</v>
      </c>
      <c r="O24" s="348">
        <f t="shared" si="1"/>
        <v>0</v>
      </c>
      <c r="P24" s="348">
        <f t="shared" si="1"/>
        <v>0</v>
      </c>
      <c r="Q24" s="348">
        <f t="shared" si="1"/>
        <v>0</v>
      </c>
      <c r="R24" s="348">
        <f t="shared" si="1"/>
        <v>0</v>
      </c>
      <c r="S24" s="348">
        <f t="shared" si="1"/>
        <v>0</v>
      </c>
      <c r="T24" s="348">
        <f t="shared" si="1"/>
        <v>0</v>
      </c>
      <c r="U24" s="349">
        <f t="shared" si="1"/>
        <v>490500</v>
      </c>
    </row>
    <row r="25" spans="1:21">
      <c r="A25" s="899"/>
      <c r="B25" s="901" t="s">
        <v>408</v>
      </c>
      <c r="C25" s="337" t="s">
        <v>345</v>
      </c>
      <c r="D25" s="903"/>
      <c r="E25" s="338">
        <v>350000</v>
      </c>
      <c r="F25" s="338">
        <v>350000</v>
      </c>
      <c r="G25" s="338"/>
      <c r="H25" s="338"/>
      <c r="I25" s="338"/>
      <c r="J25" s="338"/>
      <c r="K25" s="338"/>
      <c r="L25" s="338"/>
      <c r="M25" s="338"/>
      <c r="N25" s="338"/>
      <c r="O25" s="338"/>
      <c r="P25" s="338"/>
      <c r="Q25" s="338"/>
      <c r="R25" s="338"/>
      <c r="S25" s="338"/>
      <c r="T25" s="338"/>
      <c r="U25" s="350">
        <f>SUM(E25:T25)</f>
        <v>700000</v>
      </c>
    </row>
    <row r="26" spans="1:21">
      <c r="A26" s="899"/>
      <c r="B26" s="901"/>
      <c r="C26" s="339" t="s">
        <v>344</v>
      </c>
      <c r="D26" s="903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P26" s="340"/>
      <c r="Q26" s="340"/>
      <c r="R26" s="340"/>
      <c r="S26" s="340"/>
      <c r="T26" s="340"/>
      <c r="U26" s="347">
        <f>SUM(E26:T26)</f>
        <v>0</v>
      </c>
    </row>
    <row r="27" spans="1:21">
      <c r="A27" s="899"/>
      <c r="B27" s="901"/>
      <c r="C27" s="342" t="s">
        <v>181</v>
      </c>
      <c r="D27" s="903"/>
      <c r="E27" s="343"/>
      <c r="F27" s="343"/>
      <c r="G27" s="343"/>
      <c r="H27" s="343"/>
      <c r="I27" s="343"/>
      <c r="J27" s="343"/>
      <c r="K27" s="343"/>
      <c r="L27" s="343"/>
      <c r="M27" s="343"/>
      <c r="N27" s="343"/>
      <c r="O27" s="343"/>
      <c r="P27" s="343"/>
      <c r="Q27" s="343"/>
      <c r="R27" s="343"/>
      <c r="S27" s="343"/>
      <c r="T27" s="343"/>
      <c r="U27" s="351">
        <f>SUM(E27:T27)</f>
        <v>0</v>
      </c>
    </row>
    <row r="28" spans="1:21" ht="19.5" thickBot="1">
      <c r="A28" s="900"/>
      <c r="B28" s="902"/>
      <c r="C28" s="354" t="s">
        <v>220</v>
      </c>
      <c r="D28" s="355">
        <f>SUM(D25)</f>
        <v>0</v>
      </c>
      <c r="E28" s="352">
        <f>SUM(E25:E27)</f>
        <v>350000</v>
      </c>
      <c r="F28" s="352">
        <f>SUM(F25:F27)</f>
        <v>350000</v>
      </c>
      <c r="G28" s="352">
        <f t="shared" ref="G28:T28" si="2">SUM(G25:G27)</f>
        <v>0</v>
      </c>
      <c r="H28" s="352">
        <f t="shared" si="2"/>
        <v>0</v>
      </c>
      <c r="I28" s="352">
        <f t="shared" si="2"/>
        <v>0</v>
      </c>
      <c r="J28" s="352">
        <f t="shared" si="2"/>
        <v>0</v>
      </c>
      <c r="K28" s="352">
        <f t="shared" si="2"/>
        <v>0</v>
      </c>
      <c r="L28" s="352">
        <f t="shared" si="2"/>
        <v>0</v>
      </c>
      <c r="M28" s="352">
        <f t="shared" si="2"/>
        <v>0</v>
      </c>
      <c r="N28" s="352">
        <f t="shared" si="2"/>
        <v>0</v>
      </c>
      <c r="O28" s="352">
        <f t="shared" si="2"/>
        <v>0</v>
      </c>
      <c r="P28" s="352">
        <f t="shared" si="2"/>
        <v>0</v>
      </c>
      <c r="Q28" s="352">
        <f t="shared" si="2"/>
        <v>0</v>
      </c>
      <c r="R28" s="352">
        <f t="shared" si="2"/>
        <v>0</v>
      </c>
      <c r="S28" s="352">
        <f t="shared" si="2"/>
        <v>0</v>
      </c>
      <c r="T28" s="352">
        <f t="shared" si="2"/>
        <v>0</v>
      </c>
      <c r="U28" s="353">
        <f>SUM(U25:U27)</f>
        <v>700000</v>
      </c>
    </row>
    <row r="29" spans="1:21" ht="35.1" customHeight="1" thickBot="1">
      <c r="A29" s="891" t="s">
        <v>151</v>
      </c>
      <c r="B29" s="892"/>
      <c r="C29" s="356"/>
      <c r="D29" s="357">
        <f>D24+D28</f>
        <v>1000000</v>
      </c>
      <c r="E29" s="357">
        <f t="shared" ref="E29:U29" si="3">E24+E28</f>
        <v>840500</v>
      </c>
      <c r="F29" s="357">
        <f t="shared" si="3"/>
        <v>350000</v>
      </c>
      <c r="G29" s="357">
        <f t="shared" si="3"/>
        <v>0</v>
      </c>
      <c r="H29" s="357">
        <f t="shared" si="3"/>
        <v>0</v>
      </c>
      <c r="I29" s="357">
        <f t="shared" si="3"/>
        <v>0</v>
      </c>
      <c r="J29" s="357">
        <f t="shared" si="3"/>
        <v>0</v>
      </c>
      <c r="K29" s="357">
        <f t="shared" si="3"/>
        <v>0</v>
      </c>
      <c r="L29" s="357">
        <f t="shared" si="3"/>
        <v>0</v>
      </c>
      <c r="M29" s="357">
        <f t="shared" si="3"/>
        <v>0</v>
      </c>
      <c r="N29" s="357">
        <f t="shared" si="3"/>
        <v>0</v>
      </c>
      <c r="O29" s="357">
        <f t="shared" si="3"/>
        <v>0</v>
      </c>
      <c r="P29" s="357">
        <f t="shared" si="3"/>
        <v>0</v>
      </c>
      <c r="Q29" s="357">
        <f t="shared" si="3"/>
        <v>0</v>
      </c>
      <c r="R29" s="357">
        <f t="shared" si="3"/>
        <v>0</v>
      </c>
      <c r="S29" s="357">
        <f>S24+S28</f>
        <v>0</v>
      </c>
      <c r="T29" s="357">
        <f>T24+T28</f>
        <v>0</v>
      </c>
      <c r="U29" s="358">
        <f t="shared" si="3"/>
        <v>1190500</v>
      </c>
    </row>
    <row r="30" spans="1:21" ht="35.1" customHeight="1" thickBot="1">
      <c r="A30" s="838" t="s">
        <v>152</v>
      </c>
      <c r="B30" s="839"/>
      <c r="C30" s="335"/>
      <c r="D30" s="329">
        <f>D29</f>
        <v>1000000</v>
      </c>
      <c r="E30" s="329">
        <f>E29</f>
        <v>840500</v>
      </c>
      <c r="F30" s="329">
        <f t="shared" ref="F30:T30" si="4">E30+F29</f>
        <v>1190500</v>
      </c>
      <c r="G30" s="329">
        <f t="shared" si="4"/>
        <v>1190500</v>
      </c>
      <c r="H30" s="329">
        <f t="shared" si="4"/>
        <v>1190500</v>
      </c>
      <c r="I30" s="329">
        <f t="shared" si="4"/>
        <v>1190500</v>
      </c>
      <c r="J30" s="329">
        <f t="shared" si="4"/>
        <v>1190500</v>
      </c>
      <c r="K30" s="329">
        <f t="shared" si="4"/>
        <v>1190500</v>
      </c>
      <c r="L30" s="329">
        <f t="shared" si="4"/>
        <v>1190500</v>
      </c>
      <c r="M30" s="329">
        <f t="shared" si="4"/>
        <v>1190500</v>
      </c>
      <c r="N30" s="329">
        <f t="shared" si="4"/>
        <v>1190500</v>
      </c>
      <c r="O30" s="329">
        <f t="shared" si="4"/>
        <v>1190500</v>
      </c>
      <c r="P30" s="329">
        <f t="shared" si="4"/>
        <v>1190500</v>
      </c>
      <c r="Q30" s="329">
        <f t="shared" si="4"/>
        <v>1190500</v>
      </c>
      <c r="R30" s="329">
        <f t="shared" si="4"/>
        <v>1190500</v>
      </c>
      <c r="S30" s="329">
        <f t="shared" si="4"/>
        <v>1190500</v>
      </c>
      <c r="T30" s="329">
        <f t="shared" si="4"/>
        <v>1190500</v>
      </c>
      <c r="U30" s="330"/>
    </row>
  </sheetData>
  <mergeCells count="9">
    <mergeCell ref="A29:B29"/>
    <mergeCell ref="A30:B30"/>
    <mergeCell ref="B24:C24"/>
    <mergeCell ref="A2:U2"/>
    <mergeCell ref="A3:U3"/>
    <mergeCell ref="A5:A28"/>
    <mergeCell ref="B25:B28"/>
    <mergeCell ref="D25:D27"/>
    <mergeCell ref="D5:D23"/>
  </mergeCells>
  <phoneticPr fontId="142" type="noConversion"/>
  <printOptions horizontalCentered="1"/>
  <pageMargins left="0.23622047244094491" right="0.19685039370078741" top="0.59055118110236227" bottom="0.35433070866141736" header="0" footer="0"/>
  <pageSetup paperSize="9" scale="55" fitToWidth="9" fitToHeight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778-9A3B-4679-BF22-C94FE9881FE9}">
  <dimension ref="A1:U27"/>
  <sheetViews>
    <sheetView workbookViewId="0"/>
  </sheetViews>
  <sheetFormatPr defaultRowHeight="18.75"/>
  <cols>
    <col min="1" max="1" width="4" style="295" customWidth="1"/>
    <col min="2" max="2" width="12.625" style="295" customWidth="1"/>
    <col min="3" max="3" width="14.25" style="295" customWidth="1"/>
    <col min="4" max="4" width="13.875" style="295" bestFit="1" customWidth="1"/>
    <col min="5" max="15" width="15" style="295" customWidth="1"/>
    <col min="16" max="20" width="10.75" style="295" hidden="1" customWidth="1"/>
    <col min="21" max="21" width="13.25" style="295" customWidth="1"/>
    <col min="22" max="22" width="9" style="295"/>
    <col min="23" max="23" width="21.625" style="295" bestFit="1" customWidth="1"/>
    <col min="24" max="16384" width="9" style="295"/>
  </cols>
  <sheetData>
    <row r="1" spans="1:21" ht="11.25" customHeight="1">
      <c r="A1" s="305"/>
      <c r="B1" s="305"/>
      <c r="C1" s="305"/>
      <c r="D1" s="305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</row>
    <row r="2" spans="1:21" ht="32.25" customHeight="1">
      <c r="A2" s="851" t="s">
        <v>148</v>
      </c>
      <c r="B2" s="851"/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  <c r="P2" s="851"/>
      <c r="Q2" s="851"/>
      <c r="R2" s="851"/>
      <c r="S2" s="851"/>
      <c r="T2" s="851"/>
      <c r="U2" s="851"/>
    </row>
    <row r="3" spans="1:21" ht="32.25" customHeight="1" thickBot="1">
      <c r="A3" s="884" t="s">
        <v>429</v>
      </c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4"/>
      <c r="N3" s="884"/>
      <c r="O3" s="884"/>
      <c r="P3" s="884"/>
      <c r="Q3" s="884"/>
      <c r="R3" s="884"/>
      <c r="S3" s="884"/>
      <c r="T3" s="884"/>
      <c r="U3" s="884"/>
    </row>
    <row r="4" spans="1:21" ht="36.75" customHeight="1" thickBot="1">
      <c r="A4" s="324"/>
      <c r="B4" s="325" t="s">
        <v>149</v>
      </c>
      <c r="C4" s="293" t="s">
        <v>150</v>
      </c>
      <c r="D4" s="293" t="s">
        <v>226</v>
      </c>
      <c r="E4" s="293" t="s">
        <v>419</v>
      </c>
      <c r="F4" s="293" t="s">
        <v>420</v>
      </c>
      <c r="G4" s="293"/>
      <c r="H4" s="293"/>
      <c r="I4" s="293"/>
      <c r="J4" s="293"/>
      <c r="K4" s="293"/>
      <c r="L4" s="293"/>
      <c r="M4" s="293"/>
      <c r="N4" s="293"/>
      <c r="O4" s="293"/>
      <c r="P4" s="293" t="s">
        <v>308</v>
      </c>
      <c r="Q4" s="293" t="s">
        <v>228</v>
      </c>
      <c r="R4" s="293" t="s">
        <v>229</v>
      </c>
      <c r="S4" s="293" t="s">
        <v>230</v>
      </c>
      <c r="T4" s="293" t="s">
        <v>388</v>
      </c>
      <c r="U4" s="294" t="s">
        <v>4</v>
      </c>
    </row>
    <row r="5" spans="1:21" s="307" customFormat="1" ht="36.75" customHeight="1">
      <c r="A5" s="885" t="s">
        <v>199</v>
      </c>
      <c r="B5" s="411" t="s">
        <v>426</v>
      </c>
      <c r="C5" s="415" t="s">
        <v>428</v>
      </c>
      <c r="D5" s="888">
        <v>5804361</v>
      </c>
      <c r="E5" s="312">
        <v>4395000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21"/>
      <c r="R5" s="313"/>
      <c r="S5" s="313"/>
      <c r="T5" s="313"/>
      <c r="U5" s="322">
        <f>SUM(E5:T5)</f>
        <v>4395000</v>
      </c>
    </row>
    <row r="6" spans="1:21" s="307" customFormat="1" ht="36.75" customHeight="1">
      <c r="A6" s="886"/>
      <c r="B6" s="362" t="s">
        <v>455</v>
      </c>
      <c r="C6" s="416" t="s">
        <v>457</v>
      </c>
      <c r="D6" s="889"/>
      <c r="E6" s="310"/>
      <c r="F6" s="310">
        <v>650000</v>
      </c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23">
        <f>SUM(E6:T6)</f>
        <v>650000</v>
      </c>
    </row>
    <row r="7" spans="1:21" s="307" customFormat="1" ht="36.75" customHeight="1">
      <c r="A7" s="886"/>
      <c r="B7" s="308"/>
      <c r="C7" s="416"/>
      <c r="D7" s="889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23">
        <f t="shared" ref="U7:U23" si="0">SUM(E7:T7)</f>
        <v>0</v>
      </c>
    </row>
    <row r="8" spans="1:21" s="307" customFormat="1" ht="36.75" customHeight="1">
      <c r="A8" s="886"/>
      <c r="B8" s="308"/>
      <c r="C8" s="416"/>
      <c r="D8" s="889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23">
        <f t="shared" si="0"/>
        <v>0</v>
      </c>
    </row>
    <row r="9" spans="1:21" s="307" customFormat="1" ht="36.75" customHeight="1">
      <c r="A9" s="886"/>
      <c r="B9" s="314"/>
      <c r="C9" s="416"/>
      <c r="D9" s="889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23">
        <f t="shared" si="0"/>
        <v>0</v>
      </c>
    </row>
    <row r="10" spans="1:21" s="307" customFormat="1" ht="36.75" customHeight="1">
      <c r="A10" s="886"/>
      <c r="B10" s="315"/>
      <c r="C10" s="416"/>
      <c r="D10" s="889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23">
        <f t="shared" si="0"/>
        <v>0</v>
      </c>
    </row>
    <row r="11" spans="1:21" s="307" customFormat="1" ht="36.75" customHeight="1">
      <c r="A11" s="886"/>
      <c r="B11" s="314"/>
      <c r="C11" s="416"/>
      <c r="D11" s="889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23">
        <f t="shared" si="0"/>
        <v>0</v>
      </c>
    </row>
    <row r="12" spans="1:21" s="307" customFormat="1" ht="36.75" customHeight="1">
      <c r="A12" s="886"/>
      <c r="B12" s="315"/>
      <c r="C12" s="416"/>
      <c r="D12" s="889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23">
        <f t="shared" si="0"/>
        <v>0</v>
      </c>
    </row>
    <row r="13" spans="1:21" s="307" customFormat="1" ht="36.75" customHeight="1">
      <c r="A13" s="886"/>
      <c r="B13" s="316"/>
      <c r="C13" s="416"/>
      <c r="D13" s="889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23">
        <f t="shared" si="0"/>
        <v>0</v>
      </c>
    </row>
    <row r="14" spans="1:21" s="307" customFormat="1" ht="36.75" customHeight="1">
      <c r="A14" s="886"/>
      <c r="B14" s="317"/>
      <c r="C14" s="416"/>
      <c r="D14" s="889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23">
        <f t="shared" si="0"/>
        <v>0</v>
      </c>
    </row>
    <row r="15" spans="1:21" s="307" customFormat="1" ht="36.75" customHeight="1">
      <c r="A15" s="886"/>
      <c r="B15" s="314"/>
      <c r="C15" s="416"/>
      <c r="D15" s="889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23">
        <f t="shared" si="0"/>
        <v>0</v>
      </c>
    </row>
    <row r="16" spans="1:21" s="307" customFormat="1" ht="36.75" customHeight="1">
      <c r="A16" s="886"/>
      <c r="B16" s="314"/>
      <c r="C16" s="416"/>
      <c r="D16" s="889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23">
        <f t="shared" si="0"/>
        <v>0</v>
      </c>
    </row>
    <row r="17" spans="1:21" s="307" customFormat="1" ht="36.75" customHeight="1">
      <c r="A17" s="886"/>
      <c r="B17" s="314"/>
      <c r="C17" s="416"/>
      <c r="D17" s="889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23">
        <f t="shared" si="0"/>
        <v>0</v>
      </c>
    </row>
    <row r="18" spans="1:21" s="307" customFormat="1" ht="36.75" customHeight="1">
      <c r="A18" s="886"/>
      <c r="B18" s="314"/>
      <c r="C18" s="416"/>
      <c r="D18" s="889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23">
        <f t="shared" si="0"/>
        <v>0</v>
      </c>
    </row>
    <row r="19" spans="1:21" s="307" customFormat="1" ht="36.75" customHeight="1">
      <c r="A19" s="886"/>
      <c r="B19" s="314"/>
      <c r="C19" s="417"/>
      <c r="D19" s="889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23">
        <f t="shared" si="0"/>
        <v>0</v>
      </c>
    </row>
    <row r="20" spans="1:21" s="307" customFormat="1" ht="36.75" customHeight="1">
      <c r="A20" s="886"/>
      <c r="B20" s="314"/>
      <c r="C20" s="417"/>
      <c r="D20" s="889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23">
        <f t="shared" si="0"/>
        <v>0</v>
      </c>
    </row>
    <row r="21" spans="1:21" s="307" customFormat="1" ht="36.75" customHeight="1">
      <c r="A21" s="886"/>
      <c r="B21" s="314"/>
      <c r="C21" s="417"/>
      <c r="D21" s="889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23">
        <f t="shared" si="0"/>
        <v>0</v>
      </c>
    </row>
    <row r="22" spans="1:21" s="307" customFormat="1" ht="36.75" customHeight="1">
      <c r="A22" s="886"/>
      <c r="B22" s="314"/>
      <c r="C22" s="418"/>
      <c r="D22" s="889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23">
        <f t="shared" si="0"/>
        <v>0</v>
      </c>
    </row>
    <row r="23" spans="1:21" s="307" customFormat="1" ht="36.75" customHeight="1">
      <c r="A23" s="886"/>
      <c r="B23" s="314"/>
      <c r="C23" s="416"/>
      <c r="D23" s="889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23">
        <f t="shared" si="0"/>
        <v>0</v>
      </c>
    </row>
    <row r="24" spans="1:21" ht="36.75" customHeight="1" thickBot="1">
      <c r="A24" s="887"/>
      <c r="B24" s="319"/>
      <c r="C24" s="419"/>
      <c r="D24" s="890"/>
      <c r="E24" s="302"/>
      <c r="F24" s="302"/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3">
        <f t="shared" ref="U24" si="1">SUM(E24:S24)</f>
        <v>0</v>
      </c>
    </row>
    <row r="25" spans="1:21" s="328" customFormat="1" ht="36.75" customHeight="1" thickBot="1">
      <c r="A25" s="882" t="s">
        <v>167</v>
      </c>
      <c r="B25" s="883"/>
      <c r="C25" s="331"/>
      <c r="D25" s="332">
        <f t="shared" ref="D25:U25" si="2">SUM(D5:D24)</f>
        <v>5804361</v>
      </c>
      <c r="E25" s="333">
        <f t="shared" si="2"/>
        <v>4395000</v>
      </c>
      <c r="F25" s="333">
        <f t="shared" si="2"/>
        <v>650000</v>
      </c>
      <c r="G25" s="333">
        <f t="shared" si="2"/>
        <v>0</v>
      </c>
      <c r="H25" s="333">
        <f t="shared" si="2"/>
        <v>0</v>
      </c>
      <c r="I25" s="333">
        <f t="shared" si="2"/>
        <v>0</v>
      </c>
      <c r="J25" s="333">
        <f t="shared" si="2"/>
        <v>0</v>
      </c>
      <c r="K25" s="333">
        <f t="shared" si="2"/>
        <v>0</v>
      </c>
      <c r="L25" s="333">
        <f t="shared" si="2"/>
        <v>0</v>
      </c>
      <c r="M25" s="333">
        <f t="shared" si="2"/>
        <v>0</v>
      </c>
      <c r="N25" s="333">
        <f t="shared" si="2"/>
        <v>0</v>
      </c>
      <c r="O25" s="333">
        <f t="shared" si="2"/>
        <v>0</v>
      </c>
      <c r="P25" s="333">
        <f t="shared" si="2"/>
        <v>0</v>
      </c>
      <c r="Q25" s="333">
        <f t="shared" si="2"/>
        <v>0</v>
      </c>
      <c r="R25" s="333">
        <f t="shared" si="2"/>
        <v>0</v>
      </c>
      <c r="S25" s="333">
        <f t="shared" si="2"/>
        <v>0</v>
      </c>
      <c r="T25" s="333">
        <f t="shared" si="2"/>
        <v>0</v>
      </c>
      <c r="U25" s="334">
        <f t="shared" si="2"/>
        <v>5045000</v>
      </c>
    </row>
    <row r="26" spans="1:21" s="328" customFormat="1" ht="36.75" customHeight="1" thickBot="1">
      <c r="A26" s="838" t="s">
        <v>168</v>
      </c>
      <c r="B26" s="839"/>
      <c r="C26" s="335"/>
      <c r="D26" s="336">
        <f>D25</f>
        <v>5804361</v>
      </c>
      <c r="E26" s="329">
        <f>E25</f>
        <v>4395000</v>
      </c>
      <c r="F26" s="329">
        <f t="shared" ref="F26:T26" si="3">E26+F25</f>
        <v>5045000</v>
      </c>
      <c r="G26" s="329">
        <f t="shared" si="3"/>
        <v>5045000</v>
      </c>
      <c r="H26" s="329">
        <f>G26+H25</f>
        <v>5045000</v>
      </c>
      <c r="I26" s="329">
        <f>H26+I25</f>
        <v>5045000</v>
      </c>
      <c r="J26" s="329">
        <f t="shared" si="3"/>
        <v>5045000</v>
      </c>
      <c r="K26" s="329">
        <f t="shared" si="3"/>
        <v>5045000</v>
      </c>
      <c r="L26" s="329">
        <f t="shared" si="3"/>
        <v>5045000</v>
      </c>
      <c r="M26" s="329">
        <f t="shared" si="3"/>
        <v>5045000</v>
      </c>
      <c r="N26" s="329">
        <f t="shared" si="3"/>
        <v>5045000</v>
      </c>
      <c r="O26" s="329">
        <f>N26+O25</f>
        <v>5045000</v>
      </c>
      <c r="P26" s="329">
        <f>O26+P25</f>
        <v>5045000</v>
      </c>
      <c r="Q26" s="329">
        <f>P26+Q25</f>
        <v>5045000</v>
      </c>
      <c r="R26" s="329">
        <f>Q26+R25</f>
        <v>5045000</v>
      </c>
      <c r="S26" s="329">
        <f t="shared" si="3"/>
        <v>5045000</v>
      </c>
      <c r="T26" s="329">
        <f t="shared" si="3"/>
        <v>5045000</v>
      </c>
      <c r="U26" s="330"/>
    </row>
    <row r="27" spans="1:21" ht="11.25" customHeight="1">
      <c r="A27" s="305"/>
      <c r="B27" s="305"/>
      <c r="C27" s="305"/>
      <c r="D27" s="305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</row>
  </sheetData>
  <mergeCells count="6">
    <mergeCell ref="A2:U2"/>
    <mergeCell ref="A3:U3"/>
    <mergeCell ref="A5:A24"/>
    <mergeCell ref="A25:B25"/>
    <mergeCell ref="A26:B26"/>
    <mergeCell ref="D5:D24"/>
  </mergeCells>
  <phoneticPr fontId="142" type="noConversion"/>
  <printOptions horizontalCentered="1"/>
  <pageMargins left="0.23622047244094491" right="0.19685039370078741" top="0.59055118110236227" bottom="0.35433070866141736" header="0" footer="0"/>
  <pageSetup paperSize="9" scale="55" fitToWidth="9" fitToHeight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B1:AU46"/>
  <sheetViews>
    <sheetView workbookViewId="0"/>
  </sheetViews>
  <sheetFormatPr defaultRowHeight="16.5"/>
  <cols>
    <col min="1" max="1" width="6.375" customWidth="1"/>
    <col min="2" max="2" width="4.625" style="1" customWidth="1"/>
    <col min="3" max="7" width="6.5" style="1" customWidth="1"/>
    <col min="8" max="8" width="7.625" style="1" customWidth="1"/>
    <col min="9" max="14" width="7.5" style="1" customWidth="1"/>
    <col min="22" max="23" width="3.125" customWidth="1"/>
    <col min="24" max="47" width="2" customWidth="1"/>
  </cols>
  <sheetData>
    <row r="1" spans="2:47">
      <c r="N1"/>
    </row>
    <row r="2" spans="2:47">
      <c r="B2" s="858" t="s">
        <v>6</v>
      </c>
      <c r="C2" s="3" t="s">
        <v>5</v>
      </c>
      <c r="D2" s="3" t="s">
        <v>186</v>
      </c>
      <c r="E2" s="3" t="s">
        <v>187</v>
      </c>
      <c r="F2" s="3" t="s">
        <v>156</v>
      </c>
      <c r="G2" s="858" t="s">
        <v>7</v>
      </c>
      <c r="H2" s="3" t="s">
        <v>5</v>
      </c>
      <c r="I2" s="3" t="s">
        <v>13</v>
      </c>
      <c r="J2" s="3" t="s">
        <v>15</v>
      </c>
      <c r="K2" s="3" t="s">
        <v>77</v>
      </c>
      <c r="L2" s="3" t="s">
        <v>170</v>
      </c>
      <c r="M2" s="3" t="s">
        <v>18</v>
      </c>
      <c r="N2"/>
      <c r="O2" s="858" t="s">
        <v>75</v>
      </c>
      <c r="P2" s="45" t="s">
        <v>76</v>
      </c>
      <c r="Q2" s="100" t="s">
        <v>169</v>
      </c>
      <c r="R2" s="100" t="s">
        <v>159</v>
      </c>
      <c r="S2" s="45" t="s">
        <v>155</v>
      </c>
      <c r="T2" s="911" t="s">
        <v>78</v>
      </c>
      <c r="U2" s="911"/>
      <c r="V2" s="524" t="s">
        <v>12</v>
      </c>
      <c r="W2" s="525"/>
      <c r="X2" s="525"/>
      <c r="Y2" s="526"/>
      <c r="Z2" s="524" t="s">
        <v>14</v>
      </c>
      <c r="AA2" s="525"/>
      <c r="AB2" s="525"/>
      <c r="AC2" s="526"/>
      <c r="AD2" s="524" t="s">
        <v>16</v>
      </c>
      <c r="AE2" s="525"/>
      <c r="AF2" s="525"/>
      <c r="AG2" s="526"/>
      <c r="AH2" s="524" t="s">
        <v>17</v>
      </c>
      <c r="AI2" s="525"/>
      <c r="AJ2" s="525"/>
      <c r="AK2" s="526"/>
      <c r="AL2" s="524" t="s">
        <v>171</v>
      </c>
      <c r="AM2" s="525"/>
      <c r="AN2" s="525"/>
      <c r="AO2" s="526"/>
      <c r="AP2" s="524" t="s">
        <v>19</v>
      </c>
      <c r="AQ2" s="525"/>
      <c r="AR2" s="525"/>
      <c r="AS2" s="526"/>
    </row>
    <row r="3" spans="2:47" ht="44.25" customHeight="1">
      <c r="B3" s="858"/>
      <c r="C3" s="2"/>
      <c r="D3" s="2"/>
      <c r="E3" s="2"/>
      <c r="F3" s="2"/>
      <c r="G3" s="858"/>
      <c r="H3" s="2"/>
      <c r="I3" s="2"/>
      <c r="J3" s="2"/>
      <c r="K3" s="2"/>
      <c r="L3" s="2"/>
      <c r="M3" s="2"/>
      <c r="N3"/>
      <c r="O3" s="858"/>
      <c r="P3" s="46"/>
      <c r="Q3" s="46"/>
      <c r="R3" s="46"/>
      <c r="S3" s="46"/>
      <c r="T3" s="911"/>
      <c r="U3" s="911"/>
      <c r="V3" s="907"/>
      <c r="W3" s="908"/>
      <c r="X3" s="908"/>
      <c r="Y3" s="909"/>
      <c r="Z3" s="907"/>
      <c r="AA3" s="908"/>
      <c r="AB3" s="908"/>
      <c r="AC3" s="909"/>
      <c r="AD3" s="907"/>
      <c r="AE3" s="908"/>
      <c r="AF3" s="908"/>
      <c r="AG3" s="909"/>
      <c r="AH3" s="907"/>
      <c r="AI3" s="908"/>
      <c r="AJ3" s="908"/>
      <c r="AK3" s="909"/>
      <c r="AL3" s="524"/>
      <c r="AM3" s="525"/>
      <c r="AN3" s="525"/>
      <c r="AO3" s="526"/>
      <c r="AP3" s="524"/>
      <c r="AQ3" s="525"/>
      <c r="AR3" s="525"/>
      <c r="AS3" s="526"/>
    </row>
    <row r="4" spans="2:47" ht="16.5" customHeight="1">
      <c r="N4"/>
      <c r="T4" s="152"/>
      <c r="U4" s="152"/>
      <c r="V4" s="908"/>
      <c r="W4" s="908"/>
      <c r="X4" s="908"/>
      <c r="Y4" s="908"/>
      <c r="Z4" s="908"/>
      <c r="AA4" s="908"/>
      <c r="AB4" s="908"/>
      <c r="AC4" s="908"/>
      <c r="AD4" s="908"/>
      <c r="AE4" s="908"/>
      <c r="AF4" s="908"/>
      <c r="AG4" s="908"/>
      <c r="AH4" s="908"/>
      <c r="AI4" s="908"/>
      <c r="AJ4" s="908"/>
      <c r="AK4" s="908"/>
      <c r="AL4" s="153"/>
      <c r="AM4" s="34"/>
      <c r="AN4" s="34"/>
      <c r="AO4" s="28"/>
      <c r="AP4" s="28"/>
      <c r="AQ4" s="28"/>
      <c r="AR4" s="28"/>
      <c r="AS4" s="28"/>
    </row>
    <row r="5" spans="2:47" ht="15" customHeight="1">
      <c r="B5" s="858" t="s">
        <v>6</v>
      </c>
      <c r="C5" s="3" t="s">
        <v>5</v>
      </c>
      <c r="D5" s="3" t="s">
        <v>186</v>
      </c>
      <c r="E5" s="3" t="s">
        <v>187</v>
      </c>
      <c r="F5" s="3" t="s">
        <v>155</v>
      </c>
      <c r="G5" s="155"/>
      <c r="H5" s="156"/>
      <c r="T5" s="120"/>
      <c r="U5" s="154"/>
      <c r="V5" s="154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2"/>
      <c r="AN5" s="28"/>
      <c r="AO5" s="31"/>
      <c r="AP5" s="31"/>
      <c r="AQ5" s="31"/>
      <c r="AR5" s="28"/>
      <c r="AS5" s="31"/>
      <c r="AT5" s="31"/>
    </row>
    <row r="6" spans="2:47" ht="42.75" customHeight="1">
      <c r="B6" s="858"/>
      <c r="C6" s="2"/>
      <c r="D6" s="2"/>
      <c r="E6" s="2"/>
      <c r="F6" s="2"/>
      <c r="G6" s="157"/>
      <c r="H6" s="158"/>
      <c r="T6" s="120"/>
      <c r="U6" s="120"/>
      <c r="V6" s="154"/>
      <c r="W6" s="154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2"/>
      <c r="AO6" s="28"/>
      <c r="AP6" s="31"/>
      <c r="AQ6" s="31"/>
      <c r="AR6" s="31"/>
      <c r="AS6" s="28"/>
      <c r="AT6" s="31"/>
      <c r="AU6" s="31"/>
    </row>
    <row r="7" spans="2:47"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</row>
    <row r="8" spans="2:47">
      <c r="G8" s="1" t="s">
        <v>48</v>
      </c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</row>
    <row r="18" spans="2:47" s="217" customFormat="1" ht="15" customHeight="1">
      <c r="B18" s="910" t="s">
        <v>6</v>
      </c>
      <c r="C18" s="3" t="s">
        <v>5</v>
      </c>
      <c r="D18" s="3"/>
      <c r="E18" s="3" t="s">
        <v>155</v>
      </c>
      <c r="F18" s="3" t="s">
        <v>155</v>
      </c>
      <c r="G18" s="155"/>
      <c r="H18" s="156"/>
      <c r="I18" s="1"/>
      <c r="J18" s="1"/>
      <c r="K18" s="1"/>
      <c r="L18" s="1"/>
      <c r="M18" s="1"/>
      <c r="N18" s="1"/>
      <c r="T18" s="120"/>
      <c r="U18" s="154"/>
      <c r="V18" s="154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2"/>
      <c r="AN18" s="28"/>
      <c r="AO18" s="31"/>
      <c r="AP18" s="31"/>
      <c r="AQ18" s="31"/>
      <c r="AR18" s="28"/>
      <c r="AS18" s="31"/>
      <c r="AT18" s="31"/>
    </row>
    <row r="19" spans="2:47" s="217" customFormat="1" ht="42.75" customHeight="1">
      <c r="B19" s="910"/>
      <c r="C19" s="2"/>
      <c r="D19" s="2"/>
      <c r="E19" s="2"/>
      <c r="F19" s="2"/>
      <c r="G19" s="157"/>
      <c r="H19" s="158"/>
      <c r="I19" s="1"/>
      <c r="J19" s="1"/>
      <c r="K19" s="1"/>
      <c r="L19" s="1"/>
      <c r="M19" s="1"/>
      <c r="N19" s="1"/>
      <c r="T19" s="120"/>
      <c r="U19" s="120"/>
      <c r="V19" s="154"/>
      <c r="W19" s="154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2"/>
      <c r="AO19" s="28"/>
      <c r="AP19" s="31"/>
      <c r="AQ19" s="31"/>
      <c r="AR19" s="31"/>
      <c r="AS19" s="28"/>
      <c r="AT19" s="31"/>
      <c r="AU19" s="31"/>
    </row>
    <row r="20" spans="2:47">
      <c r="D20" s="175"/>
    </row>
    <row r="21" spans="2:47">
      <c r="D21" s="175"/>
    </row>
    <row r="22" spans="2:47">
      <c r="D22" s="175"/>
    </row>
    <row r="23" spans="2:47">
      <c r="D23" s="175"/>
    </row>
    <row r="24" spans="2:47">
      <c r="D24" s="175"/>
    </row>
    <row r="25" spans="2:47">
      <c r="D25" s="175"/>
    </row>
    <row r="26" spans="2:47">
      <c r="D26" s="175"/>
    </row>
    <row r="27" spans="2:47">
      <c r="D27" s="175"/>
    </row>
    <row r="28" spans="2:47">
      <c r="D28" s="175"/>
    </row>
    <row r="29" spans="2:47">
      <c r="D29" s="175"/>
    </row>
    <row r="30" spans="2:47">
      <c r="D30" s="175"/>
    </row>
    <row r="31" spans="2:47">
      <c r="D31" s="175"/>
    </row>
    <row r="32" spans="2:47">
      <c r="D32" s="175"/>
    </row>
    <row r="33" spans="4:4">
      <c r="D33" s="175"/>
    </row>
    <row r="34" spans="4:4">
      <c r="D34" s="175"/>
    </row>
    <row r="35" spans="4:4">
      <c r="D35" s="175"/>
    </row>
    <row r="36" spans="4:4">
      <c r="D36" s="175"/>
    </row>
    <row r="46" spans="4:4">
      <c r="D46" s="163"/>
    </row>
  </sheetData>
  <mergeCells count="22">
    <mergeCell ref="AH4:AK4"/>
    <mergeCell ref="AP3:AS3"/>
    <mergeCell ref="AH2:AK2"/>
    <mergeCell ref="AP2:AS2"/>
    <mergeCell ref="AL2:AO2"/>
    <mergeCell ref="AH3:AK3"/>
    <mergeCell ref="AL3:AO3"/>
    <mergeCell ref="B2:B3"/>
    <mergeCell ref="AD3:AG3"/>
    <mergeCell ref="Z3:AC3"/>
    <mergeCell ref="G2:G3"/>
    <mergeCell ref="B18:B19"/>
    <mergeCell ref="Z2:AC2"/>
    <mergeCell ref="B5:B6"/>
    <mergeCell ref="O2:O3"/>
    <mergeCell ref="T2:U3"/>
    <mergeCell ref="V2:Y2"/>
    <mergeCell ref="V3:Y3"/>
    <mergeCell ref="V4:Y4"/>
    <mergeCell ref="Z4:AC4"/>
    <mergeCell ref="AD4:AG4"/>
    <mergeCell ref="AD2:AG2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42"/>
  <sheetViews>
    <sheetView workbookViewId="0">
      <selection sqref="A1:M1"/>
    </sheetView>
  </sheetViews>
  <sheetFormatPr defaultRowHeight="16.5"/>
  <cols>
    <col min="15" max="15" width="5.375" customWidth="1"/>
  </cols>
  <sheetData>
    <row r="1" spans="1:13" ht="70.5" customHeight="1">
      <c r="A1" s="858" t="s">
        <v>360</v>
      </c>
      <c r="B1" s="858"/>
      <c r="C1" s="858"/>
      <c r="D1" s="858"/>
      <c r="E1" s="858"/>
      <c r="F1" s="858"/>
      <c r="G1" s="858"/>
      <c r="H1" s="858"/>
      <c r="I1" s="858"/>
      <c r="J1" s="858"/>
      <c r="K1" s="858"/>
      <c r="L1" s="858"/>
      <c r="M1" s="858"/>
    </row>
    <row r="2" spans="1:13" ht="23.25" customHeight="1">
      <c r="A2" t="s">
        <v>327</v>
      </c>
      <c r="B2" s="858" t="s">
        <v>361</v>
      </c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</row>
    <row r="3" spans="1:13" ht="23.25" customHeight="1">
      <c r="A3" t="s">
        <v>336</v>
      </c>
      <c r="B3" s="858" t="s">
        <v>362</v>
      </c>
      <c r="C3" s="858"/>
      <c r="D3" s="858"/>
      <c r="E3" s="858"/>
      <c r="F3" s="858"/>
      <c r="G3" s="858"/>
      <c r="H3" s="858"/>
      <c r="I3" s="858"/>
      <c r="J3" s="858"/>
      <c r="K3" s="858"/>
      <c r="L3" s="858"/>
      <c r="M3" s="858"/>
    </row>
    <row r="4" spans="1:13" ht="17.25" thickBot="1"/>
    <row r="5" spans="1:13" ht="23.25" customHeight="1">
      <c r="A5" s="858" t="s">
        <v>363</v>
      </c>
      <c r="B5" s="858" t="s">
        <v>377</v>
      </c>
      <c r="C5" s="858"/>
      <c r="D5" s="858"/>
      <c r="E5" s="858"/>
      <c r="F5" s="858"/>
      <c r="G5" s="858" t="s">
        <v>364</v>
      </c>
      <c r="H5" s="858"/>
      <c r="I5" s="858"/>
      <c r="J5" s="858"/>
      <c r="K5" s="858"/>
      <c r="L5" s="858" t="s">
        <v>365</v>
      </c>
      <c r="M5" s="858" t="s">
        <v>366</v>
      </c>
    </row>
    <row r="6" spans="1:13" ht="23.25" customHeight="1">
      <c r="A6" s="858"/>
      <c r="B6" t="s">
        <v>367</v>
      </c>
      <c r="C6" t="s">
        <v>368</v>
      </c>
      <c r="D6" t="s">
        <v>369</v>
      </c>
      <c r="E6" t="s">
        <v>370</v>
      </c>
      <c r="F6" t="s">
        <v>2</v>
      </c>
      <c r="G6" t="s">
        <v>371</v>
      </c>
      <c r="H6" t="s">
        <v>372</v>
      </c>
      <c r="I6" t="s">
        <v>373</v>
      </c>
      <c r="J6" t="s">
        <v>359</v>
      </c>
      <c r="K6" t="s">
        <v>2</v>
      </c>
      <c r="L6" s="858"/>
      <c r="M6" s="858"/>
    </row>
    <row r="7" spans="1:13" ht="23.25" customHeight="1">
      <c r="A7">
        <v>43525</v>
      </c>
      <c r="B7">
        <v>97500</v>
      </c>
      <c r="C7">
        <v>110500</v>
      </c>
      <c r="D7">
        <v>97500</v>
      </c>
      <c r="E7">
        <v>0</v>
      </c>
      <c r="F7">
        <v>305500</v>
      </c>
      <c r="G7">
        <v>0</v>
      </c>
      <c r="H7">
        <v>0</v>
      </c>
      <c r="I7">
        <v>0</v>
      </c>
      <c r="J7">
        <v>0</v>
      </c>
      <c r="K7">
        <v>0</v>
      </c>
      <c r="L7">
        <v>305500</v>
      </c>
    </row>
    <row r="8" spans="1:13" ht="23.25" customHeight="1">
      <c r="A8">
        <v>43526</v>
      </c>
      <c r="B8">
        <v>39000</v>
      </c>
      <c r="C8">
        <v>52000</v>
      </c>
      <c r="D8">
        <v>39000</v>
      </c>
      <c r="E8">
        <v>0</v>
      </c>
      <c r="F8">
        <v>130000</v>
      </c>
      <c r="G8">
        <v>0</v>
      </c>
      <c r="H8">
        <v>0</v>
      </c>
      <c r="I8">
        <v>0</v>
      </c>
      <c r="J8">
        <v>0</v>
      </c>
      <c r="K8">
        <v>0</v>
      </c>
      <c r="L8">
        <v>130000</v>
      </c>
    </row>
    <row r="9" spans="1:13" ht="23.25" customHeight="1">
      <c r="A9">
        <v>43527</v>
      </c>
      <c r="B9">
        <v>0</v>
      </c>
      <c r="C9">
        <v>0</v>
      </c>
      <c r="D9">
        <v>0</v>
      </c>
      <c r="E9">
        <v>0</v>
      </c>
      <c r="F9">
        <v>0</v>
      </c>
      <c r="G9">
        <v>14000</v>
      </c>
      <c r="H9">
        <v>70000</v>
      </c>
      <c r="I9">
        <v>36000</v>
      </c>
      <c r="J9">
        <v>0</v>
      </c>
      <c r="K9">
        <v>120000</v>
      </c>
      <c r="L9">
        <v>120000</v>
      </c>
    </row>
    <row r="10" spans="1:13" ht="23.25" customHeight="1">
      <c r="A10">
        <v>43528</v>
      </c>
      <c r="B10">
        <v>97500</v>
      </c>
      <c r="C10">
        <v>104000</v>
      </c>
      <c r="D10">
        <v>91000</v>
      </c>
      <c r="E10">
        <v>0</v>
      </c>
      <c r="F10">
        <v>292500</v>
      </c>
      <c r="G10">
        <v>0</v>
      </c>
      <c r="H10">
        <v>0</v>
      </c>
      <c r="I10">
        <v>42000</v>
      </c>
      <c r="J10">
        <v>0</v>
      </c>
      <c r="K10">
        <v>42000</v>
      </c>
      <c r="L10">
        <v>334500</v>
      </c>
    </row>
    <row r="11" spans="1:13" ht="23.25" customHeight="1">
      <c r="A11">
        <v>43529</v>
      </c>
      <c r="B11">
        <v>97500</v>
      </c>
      <c r="C11">
        <v>123500</v>
      </c>
      <c r="D11">
        <v>71500</v>
      </c>
      <c r="E11">
        <v>0</v>
      </c>
      <c r="F11">
        <v>292500</v>
      </c>
      <c r="G11">
        <v>0</v>
      </c>
      <c r="H11">
        <v>0</v>
      </c>
      <c r="I11">
        <v>58900</v>
      </c>
      <c r="J11">
        <v>0</v>
      </c>
      <c r="K11">
        <v>58900</v>
      </c>
      <c r="L11">
        <v>351400</v>
      </c>
    </row>
    <row r="12" spans="1:13" ht="23.25" customHeight="1">
      <c r="A12">
        <v>43530</v>
      </c>
      <c r="B12">
        <v>78000</v>
      </c>
      <c r="C12">
        <v>104000</v>
      </c>
      <c r="D12">
        <v>71500</v>
      </c>
      <c r="E12">
        <v>0</v>
      </c>
      <c r="F12">
        <v>253500</v>
      </c>
      <c r="G12">
        <v>0</v>
      </c>
      <c r="H12">
        <v>0</v>
      </c>
      <c r="I12">
        <v>33000</v>
      </c>
      <c r="J12">
        <v>0</v>
      </c>
      <c r="K12">
        <v>33000</v>
      </c>
      <c r="L12">
        <v>286500</v>
      </c>
    </row>
    <row r="13" spans="1:13" ht="23.25" customHeight="1">
      <c r="A13">
        <v>43531</v>
      </c>
      <c r="B13">
        <v>104000</v>
      </c>
      <c r="C13">
        <v>143000</v>
      </c>
      <c r="D13">
        <v>104000</v>
      </c>
      <c r="E13">
        <v>0</v>
      </c>
      <c r="F13">
        <v>351000</v>
      </c>
      <c r="G13">
        <v>0</v>
      </c>
      <c r="H13">
        <v>0</v>
      </c>
      <c r="I13">
        <v>0</v>
      </c>
      <c r="J13">
        <v>0</v>
      </c>
      <c r="K13">
        <v>0</v>
      </c>
      <c r="L13">
        <v>351000</v>
      </c>
    </row>
    <row r="14" spans="1:13" ht="23.25" customHeight="1">
      <c r="A14">
        <v>43532</v>
      </c>
      <c r="B14">
        <v>97500</v>
      </c>
      <c r="C14">
        <v>136500</v>
      </c>
      <c r="D14">
        <v>97500</v>
      </c>
      <c r="E14">
        <v>0</v>
      </c>
      <c r="F14">
        <v>331500</v>
      </c>
      <c r="G14">
        <v>0</v>
      </c>
      <c r="H14">
        <v>29000</v>
      </c>
      <c r="I14">
        <v>0</v>
      </c>
      <c r="J14">
        <v>0</v>
      </c>
      <c r="K14">
        <v>29000</v>
      </c>
      <c r="L14">
        <v>360500</v>
      </c>
    </row>
    <row r="15" spans="1:13" ht="23.25" customHeight="1">
      <c r="A15">
        <v>43533</v>
      </c>
      <c r="B15">
        <v>71500</v>
      </c>
      <c r="C15">
        <v>97500</v>
      </c>
      <c r="D15">
        <v>71500</v>
      </c>
      <c r="E15">
        <v>0</v>
      </c>
      <c r="F15">
        <v>240500</v>
      </c>
      <c r="G15">
        <v>0</v>
      </c>
      <c r="H15">
        <v>0</v>
      </c>
      <c r="I15">
        <v>0</v>
      </c>
      <c r="J15">
        <v>0</v>
      </c>
      <c r="K15">
        <v>0</v>
      </c>
      <c r="L15">
        <v>240500</v>
      </c>
    </row>
    <row r="16" spans="1:13" ht="23.25" customHeight="1">
      <c r="A16">
        <v>43534</v>
      </c>
      <c r="B16">
        <v>45500</v>
      </c>
      <c r="C16">
        <v>26000</v>
      </c>
      <c r="D16">
        <v>13000</v>
      </c>
      <c r="E16">
        <v>0</v>
      </c>
      <c r="F16">
        <v>84500</v>
      </c>
      <c r="G16">
        <v>0</v>
      </c>
      <c r="H16">
        <v>29000</v>
      </c>
      <c r="I16">
        <v>28000</v>
      </c>
      <c r="J16">
        <v>0</v>
      </c>
      <c r="K16">
        <v>57000</v>
      </c>
      <c r="L16">
        <v>141500</v>
      </c>
    </row>
    <row r="17" spans="1:12" ht="23.25" customHeight="1">
      <c r="A17">
        <v>43535</v>
      </c>
      <c r="B17">
        <v>71500</v>
      </c>
      <c r="C17">
        <v>104000</v>
      </c>
      <c r="D17">
        <v>45500</v>
      </c>
      <c r="E17">
        <v>0</v>
      </c>
      <c r="F17">
        <v>221000</v>
      </c>
      <c r="G17">
        <v>0</v>
      </c>
      <c r="H17">
        <v>0</v>
      </c>
      <c r="I17">
        <v>0</v>
      </c>
      <c r="J17">
        <v>209000</v>
      </c>
      <c r="K17">
        <v>209000</v>
      </c>
      <c r="L17">
        <v>430000</v>
      </c>
    </row>
    <row r="18" spans="1:12" ht="23.25" customHeight="1">
      <c r="A18">
        <v>43536</v>
      </c>
      <c r="B18">
        <v>104000</v>
      </c>
      <c r="C18">
        <v>123500</v>
      </c>
      <c r="D18">
        <v>104000</v>
      </c>
      <c r="E18">
        <v>210000</v>
      </c>
      <c r="F18">
        <v>541500</v>
      </c>
      <c r="G18">
        <v>0</v>
      </c>
      <c r="H18">
        <v>31000</v>
      </c>
      <c r="I18">
        <v>0</v>
      </c>
      <c r="J18">
        <v>0</v>
      </c>
      <c r="K18">
        <v>31000</v>
      </c>
      <c r="L18">
        <v>572500</v>
      </c>
    </row>
    <row r="19" spans="1:12" ht="23.25" customHeight="1">
      <c r="A19">
        <v>43537</v>
      </c>
      <c r="B19">
        <v>104000</v>
      </c>
      <c r="C19">
        <v>130000</v>
      </c>
      <c r="D19">
        <v>104000</v>
      </c>
      <c r="E19">
        <v>0</v>
      </c>
      <c r="F19">
        <v>338000</v>
      </c>
      <c r="G19">
        <v>0</v>
      </c>
      <c r="H19">
        <v>0</v>
      </c>
      <c r="I19">
        <v>0</v>
      </c>
      <c r="J19">
        <v>0</v>
      </c>
      <c r="K19">
        <v>0</v>
      </c>
      <c r="L19">
        <v>338000</v>
      </c>
    </row>
    <row r="20" spans="1:12" ht="23.25" customHeight="1">
      <c r="A20">
        <v>43538</v>
      </c>
      <c r="B20">
        <v>104000</v>
      </c>
      <c r="C20">
        <v>130000</v>
      </c>
      <c r="D20">
        <v>78000</v>
      </c>
      <c r="E20">
        <v>0</v>
      </c>
      <c r="F20">
        <v>312000</v>
      </c>
      <c r="G20">
        <v>0</v>
      </c>
      <c r="H20">
        <v>0</v>
      </c>
      <c r="I20">
        <v>46000</v>
      </c>
      <c r="J20">
        <v>0</v>
      </c>
      <c r="K20">
        <v>46000</v>
      </c>
      <c r="L20">
        <v>358000</v>
      </c>
    </row>
    <row r="21" spans="1:12" ht="23.25" customHeight="1">
      <c r="A21">
        <v>43539</v>
      </c>
      <c r="B21">
        <v>110500</v>
      </c>
      <c r="C21">
        <v>136500</v>
      </c>
      <c r="D21">
        <v>110500</v>
      </c>
      <c r="E21">
        <v>0</v>
      </c>
      <c r="F21">
        <v>357500</v>
      </c>
      <c r="G21">
        <v>0</v>
      </c>
      <c r="H21">
        <v>68000</v>
      </c>
      <c r="I21">
        <v>0</v>
      </c>
      <c r="J21">
        <v>0</v>
      </c>
      <c r="K21">
        <v>68000</v>
      </c>
      <c r="L21">
        <v>425500</v>
      </c>
    </row>
    <row r="22" spans="1:12" ht="23.25" customHeight="1">
      <c r="A22">
        <v>43540</v>
      </c>
      <c r="B22">
        <v>58500</v>
      </c>
      <c r="C22">
        <v>84500</v>
      </c>
      <c r="D22">
        <v>58500</v>
      </c>
      <c r="E22">
        <v>0</v>
      </c>
      <c r="F22">
        <v>201500</v>
      </c>
      <c r="G22">
        <v>0</v>
      </c>
      <c r="H22">
        <v>0</v>
      </c>
      <c r="I22">
        <v>0</v>
      </c>
      <c r="J22">
        <v>0</v>
      </c>
      <c r="K22">
        <v>0</v>
      </c>
      <c r="L22">
        <v>201500</v>
      </c>
    </row>
    <row r="23" spans="1:12" ht="23.25" customHeight="1">
      <c r="A23">
        <v>43541</v>
      </c>
      <c r="B23">
        <v>0</v>
      </c>
      <c r="C23">
        <v>0</v>
      </c>
      <c r="D23">
        <v>0</v>
      </c>
      <c r="E23">
        <v>0</v>
      </c>
      <c r="F23">
        <v>0</v>
      </c>
      <c r="G23">
        <v>35000</v>
      </c>
      <c r="H23">
        <v>35000</v>
      </c>
      <c r="I23">
        <v>12200</v>
      </c>
      <c r="J23">
        <v>0</v>
      </c>
      <c r="K23">
        <v>82200</v>
      </c>
      <c r="L23">
        <v>82200</v>
      </c>
    </row>
    <row r="24" spans="1:12" ht="23.25" customHeight="1">
      <c r="A24">
        <v>43542</v>
      </c>
      <c r="B24">
        <v>97500</v>
      </c>
      <c r="C24">
        <v>117000</v>
      </c>
      <c r="D24">
        <v>78000</v>
      </c>
      <c r="E24">
        <v>0</v>
      </c>
      <c r="F24">
        <v>292500</v>
      </c>
      <c r="G24">
        <v>0</v>
      </c>
      <c r="H24">
        <v>16000</v>
      </c>
      <c r="I24">
        <v>144500</v>
      </c>
      <c r="J24">
        <v>0</v>
      </c>
      <c r="K24">
        <v>160500</v>
      </c>
      <c r="L24">
        <v>453000</v>
      </c>
    </row>
    <row r="25" spans="1:12" ht="23.25" customHeight="1">
      <c r="A25">
        <v>43543</v>
      </c>
      <c r="B25">
        <v>91000</v>
      </c>
      <c r="C25">
        <v>117000</v>
      </c>
      <c r="D25">
        <v>97500</v>
      </c>
      <c r="E25">
        <v>0</v>
      </c>
      <c r="F25">
        <v>305500</v>
      </c>
      <c r="G25">
        <v>9000</v>
      </c>
      <c r="H25">
        <v>35000</v>
      </c>
      <c r="J25">
        <v>0</v>
      </c>
      <c r="K25">
        <v>44000</v>
      </c>
      <c r="L25">
        <v>349500</v>
      </c>
    </row>
    <row r="26" spans="1:12" ht="23.25" customHeight="1">
      <c r="A26">
        <v>43544</v>
      </c>
      <c r="B26">
        <v>104000</v>
      </c>
      <c r="C26">
        <v>123500</v>
      </c>
      <c r="D26">
        <v>104000</v>
      </c>
      <c r="E26">
        <v>0</v>
      </c>
      <c r="F26">
        <v>331500</v>
      </c>
      <c r="G26">
        <v>0</v>
      </c>
      <c r="H26">
        <v>12000</v>
      </c>
      <c r="I26">
        <v>0</v>
      </c>
      <c r="J26">
        <v>0</v>
      </c>
      <c r="K26">
        <v>12000</v>
      </c>
      <c r="L26">
        <v>343500</v>
      </c>
    </row>
    <row r="27" spans="1:12" ht="23.25" customHeight="1">
      <c r="A27">
        <v>43545</v>
      </c>
      <c r="B27">
        <v>104000</v>
      </c>
      <c r="C27">
        <v>97500</v>
      </c>
      <c r="D27">
        <v>91000</v>
      </c>
      <c r="E27">
        <v>0</v>
      </c>
      <c r="F27">
        <v>292500</v>
      </c>
      <c r="G27">
        <v>0</v>
      </c>
      <c r="H27">
        <v>35000</v>
      </c>
      <c r="I27">
        <v>0</v>
      </c>
      <c r="J27">
        <v>0</v>
      </c>
      <c r="K27">
        <v>35000</v>
      </c>
      <c r="L27">
        <v>327500</v>
      </c>
    </row>
    <row r="28" spans="1:12" ht="23.25" customHeight="1">
      <c r="A28">
        <v>43546</v>
      </c>
      <c r="B28">
        <v>110500</v>
      </c>
      <c r="C28">
        <v>123500</v>
      </c>
      <c r="D28">
        <v>110500</v>
      </c>
      <c r="E28">
        <v>0</v>
      </c>
      <c r="F28">
        <v>344500</v>
      </c>
      <c r="G28">
        <v>0</v>
      </c>
      <c r="H28">
        <v>37000</v>
      </c>
      <c r="I28">
        <v>0</v>
      </c>
      <c r="J28">
        <v>0</v>
      </c>
      <c r="K28">
        <v>37000</v>
      </c>
      <c r="L28">
        <v>381500</v>
      </c>
    </row>
    <row r="29" spans="1:12" ht="23.25" customHeight="1">
      <c r="A29">
        <v>43547</v>
      </c>
      <c r="B29">
        <v>84500</v>
      </c>
      <c r="C29">
        <v>97500</v>
      </c>
      <c r="D29">
        <v>84500</v>
      </c>
      <c r="E29">
        <v>0</v>
      </c>
      <c r="F29">
        <v>266500</v>
      </c>
      <c r="G29">
        <v>0</v>
      </c>
      <c r="H29">
        <v>0</v>
      </c>
      <c r="I29">
        <v>0</v>
      </c>
      <c r="J29">
        <v>0</v>
      </c>
      <c r="K29">
        <v>0</v>
      </c>
      <c r="L29">
        <v>266500</v>
      </c>
    </row>
    <row r="30" spans="1:12" ht="23.25" customHeight="1">
      <c r="A30">
        <v>43548</v>
      </c>
      <c r="B30">
        <v>84500</v>
      </c>
      <c r="C30">
        <v>91000</v>
      </c>
      <c r="D30">
        <v>0</v>
      </c>
      <c r="E30">
        <v>0</v>
      </c>
      <c r="F30">
        <v>175500</v>
      </c>
      <c r="G30">
        <v>0</v>
      </c>
      <c r="H30">
        <v>92000</v>
      </c>
      <c r="I30">
        <v>0</v>
      </c>
      <c r="J30">
        <v>0</v>
      </c>
      <c r="K30">
        <v>92000</v>
      </c>
      <c r="L30">
        <v>267500</v>
      </c>
    </row>
    <row r="31" spans="1:12" ht="23.25" customHeight="1">
      <c r="A31">
        <v>43549</v>
      </c>
      <c r="B31">
        <v>91000</v>
      </c>
      <c r="C31">
        <v>84500</v>
      </c>
      <c r="D31">
        <v>91000</v>
      </c>
      <c r="E31">
        <v>0</v>
      </c>
      <c r="F31">
        <v>266500</v>
      </c>
      <c r="G31">
        <v>0</v>
      </c>
      <c r="H31">
        <v>122000</v>
      </c>
      <c r="I31">
        <v>0</v>
      </c>
      <c r="J31">
        <v>0</v>
      </c>
      <c r="K31">
        <v>122000</v>
      </c>
      <c r="L31">
        <v>388500</v>
      </c>
    </row>
    <row r="32" spans="1:12" ht="23.25" customHeight="1">
      <c r="A32">
        <v>43550</v>
      </c>
      <c r="B32">
        <v>110500</v>
      </c>
      <c r="C32">
        <v>130000</v>
      </c>
      <c r="D32">
        <v>104000</v>
      </c>
      <c r="E32">
        <v>0</v>
      </c>
      <c r="F32">
        <v>344500</v>
      </c>
      <c r="G32">
        <v>0</v>
      </c>
      <c r="H32">
        <v>14000</v>
      </c>
      <c r="I32">
        <v>82000</v>
      </c>
      <c r="J32">
        <v>0</v>
      </c>
      <c r="K32">
        <v>96000</v>
      </c>
      <c r="L32">
        <v>440500</v>
      </c>
    </row>
    <row r="33" spans="1:17" ht="23.25" customHeight="1">
      <c r="A33">
        <v>43551</v>
      </c>
      <c r="B33">
        <v>110500</v>
      </c>
      <c r="C33">
        <v>136500</v>
      </c>
      <c r="D33">
        <v>110500</v>
      </c>
      <c r="E33">
        <v>0</v>
      </c>
      <c r="F33">
        <v>357500</v>
      </c>
      <c r="G33">
        <v>0</v>
      </c>
      <c r="H33">
        <v>0</v>
      </c>
      <c r="I33">
        <v>0</v>
      </c>
      <c r="J33">
        <v>0</v>
      </c>
      <c r="K33">
        <v>0</v>
      </c>
      <c r="L33">
        <v>357500</v>
      </c>
    </row>
    <row r="34" spans="1:17" ht="23.25" customHeight="1">
      <c r="A34">
        <v>43552</v>
      </c>
      <c r="B34">
        <v>110500</v>
      </c>
      <c r="C34">
        <v>130000</v>
      </c>
      <c r="D34">
        <v>110500</v>
      </c>
      <c r="E34">
        <v>224000</v>
      </c>
      <c r="F34">
        <v>575000</v>
      </c>
      <c r="G34">
        <v>0</v>
      </c>
      <c r="H34">
        <v>40000</v>
      </c>
      <c r="I34">
        <v>0</v>
      </c>
      <c r="J34">
        <v>0</v>
      </c>
      <c r="K34">
        <v>40000</v>
      </c>
      <c r="L34">
        <v>615000</v>
      </c>
    </row>
    <row r="35" spans="1:17" ht="23.25" customHeight="1">
      <c r="A35">
        <v>43553</v>
      </c>
      <c r="B35">
        <v>104000</v>
      </c>
      <c r="C35">
        <v>136500</v>
      </c>
      <c r="D35">
        <v>78000</v>
      </c>
      <c r="E35">
        <v>0</v>
      </c>
      <c r="F35">
        <v>318500</v>
      </c>
      <c r="G35">
        <v>0</v>
      </c>
      <c r="H35">
        <v>0</v>
      </c>
      <c r="I35">
        <v>33000</v>
      </c>
      <c r="J35">
        <v>0</v>
      </c>
      <c r="K35">
        <v>33000</v>
      </c>
      <c r="L35">
        <v>351500</v>
      </c>
    </row>
    <row r="36" spans="1:17" ht="23.25" customHeight="1">
      <c r="A36">
        <v>43554</v>
      </c>
      <c r="B36">
        <v>45500</v>
      </c>
      <c r="C36">
        <v>58500</v>
      </c>
      <c r="D36">
        <v>32500</v>
      </c>
      <c r="E36">
        <v>0</v>
      </c>
      <c r="F36">
        <v>136500</v>
      </c>
      <c r="G36">
        <v>0</v>
      </c>
      <c r="H36">
        <v>0</v>
      </c>
      <c r="I36">
        <v>7800</v>
      </c>
      <c r="J36">
        <v>0</v>
      </c>
      <c r="K36">
        <v>7800</v>
      </c>
      <c r="L36">
        <v>144300</v>
      </c>
    </row>
    <row r="37" spans="1:17" ht="23.25" customHeight="1">
      <c r="A37">
        <v>43555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23000</v>
      </c>
      <c r="I37">
        <v>44000</v>
      </c>
      <c r="J37">
        <v>0</v>
      </c>
      <c r="K37">
        <v>67000</v>
      </c>
      <c r="L37">
        <v>67000</v>
      </c>
    </row>
    <row r="38" spans="1:17" ht="23.25" customHeight="1" thickBot="1">
      <c r="A38" t="s">
        <v>2</v>
      </c>
      <c r="B38" s="858">
        <v>8260000</v>
      </c>
      <c r="C38" s="858"/>
      <c r="D38" s="858"/>
      <c r="E38" s="858"/>
      <c r="F38" s="858"/>
      <c r="G38" s="858">
        <v>1522400</v>
      </c>
      <c r="H38" s="858"/>
      <c r="I38" s="858"/>
      <c r="J38" s="858"/>
      <c r="K38" s="858"/>
      <c r="L38">
        <v>9782400</v>
      </c>
    </row>
    <row r="41" spans="1:17">
      <c r="O41" s="858" t="s">
        <v>374</v>
      </c>
      <c r="P41" t="s">
        <v>375</v>
      </c>
      <c r="Q41" t="s">
        <v>376</v>
      </c>
    </row>
    <row r="42" spans="1:17" ht="48" customHeight="1">
      <c r="O42" s="858"/>
    </row>
  </sheetData>
  <mergeCells count="11">
    <mergeCell ref="O41:O42"/>
    <mergeCell ref="M5:M6"/>
    <mergeCell ref="L5:L6"/>
    <mergeCell ref="B38:F38"/>
    <mergeCell ref="G38:K38"/>
    <mergeCell ref="A1:M1"/>
    <mergeCell ref="B2:M2"/>
    <mergeCell ref="B3:M3"/>
    <mergeCell ref="A5:A6"/>
    <mergeCell ref="B5:F5"/>
    <mergeCell ref="G5:K5"/>
  </mergeCells>
  <phoneticPr fontId="120" type="noConversion"/>
  <pageMargins left="0.7" right="0.7" top="0.75" bottom="0.75" header="0.3" footer="0.3"/>
  <pageSetup paperSize="9" scale="6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20</vt:i4>
      </vt:variant>
    </vt:vector>
  </HeadingPairs>
  <TitlesOfParts>
    <vt:vector size="38" baseType="lpstr">
      <vt:lpstr>작성요령</vt:lpstr>
      <vt:lpstr>정산서</vt:lpstr>
      <vt:lpstr>공사청구</vt:lpstr>
      <vt:lpstr>청구목록표</vt:lpstr>
      <vt:lpstr>자금청구</vt:lpstr>
      <vt:lpstr>자금청구내역(을)</vt:lpstr>
      <vt:lpstr>업체별지급현황(총괄)</vt:lpstr>
      <vt:lpstr>자재비투입원가</vt:lpstr>
      <vt:lpstr>임원카드현황</vt:lpstr>
      <vt:lpstr>업체별지급현황(재료비)</vt:lpstr>
      <vt:lpstr>업체별지급현황(노무비)</vt:lpstr>
      <vt:lpstr>업체별지급현황(경비)</vt:lpstr>
      <vt:lpstr>업체별지급현황(장비비)</vt:lpstr>
      <vt:lpstr>업체별지급현황(외주비)</vt:lpstr>
      <vt:lpstr>업체별지급현황(현장관리비)</vt:lpstr>
      <vt:lpstr>업체별지급현황(안전,환경,폐기물)</vt:lpstr>
      <vt:lpstr>결재방</vt:lpstr>
      <vt:lpstr>식대 발생현황(예시)</vt:lpstr>
      <vt:lpstr>공사청구!Print_Area</vt:lpstr>
      <vt:lpstr>'식대 발생현황(예시)'!Print_Area</vt:lpstr>
      <vt:lpstr>'업체별지급현황(경비)'!Print_Area</vt:lpstr>
      <vt:lpstr>'업체별지급현황(노무비)'!Print_Area</vt:lpstr>
      <vt:lpstr>'업체별지급현황(안전,환경,폐기물)'!Print_Area</vt:lpstr>
      <vt:lpstr>'업체별지급현황(외주비)'!Print_Area</vt:lpstr>
      <vt:lpstr>'업체별지급현황(장비비)'!Print_Area</vt:lpstr>
      <vt:lpstr>'업체별지급현황(재료비)'!Print_Area</vt:lpstr>
      <vt:lpstr>'업체별지급현황(총괄)'!Print_Area</vt:lpstr>
      <vt:lpstr>'업체별지급현황(현장관리비)'!Print_Area</vt:lpstr>
      <vt:lpstr>임원카드현황!Print_Area</vt:lpstr>
      <vt:lpstr>자금청구!Print_Area</vt:lpstr>
      <vt:lpstr>'자금청구내역(을)'!Print_Area</vt:lpstr>
      <vt:lpstr>자재비투입원가!Print_Area</vt:lpstr>
      <vt:lpstr>정산서!Print_Area</vt:lpstr>
      <vt:lpstr>청구목록표!Print_Area</vt:lpstr>
      <vt:lpstr>임원카드현황!Print_Titles</vt:lpstr>
      <vt:lpstr>자금청구!Print_Titles</vt:lpstr>
      <vt:lpstr>'자금청구내역(을)'!Print_Titles</vt:lpstr>
      <vt:lpstr>자재비투입원가!Print_Titles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인부출역현황</dc:title>
  <dc:creator>서인석</dc:creator>
  <cp:lastModifiedBy>USER</cp:lastModifiedBy>
  <cp:lastPrinted>2025-01-24T00:02:43Z</cp:lastPrinted>
  <dcterms:created xsi:type="dcterms:W3CDTF">2009-03-20T01:49:36Z</dcterms:created>
  <dcterms:modified xsi:type="dcterms:W3CDTF">2025-01-31T08:13:10Z</dcterms:modified>
</cp:coreProperties>
</file>